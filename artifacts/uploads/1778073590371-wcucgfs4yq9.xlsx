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ventaris Aset" sheetId="2" state="visible" r:id="rId4"/>
    <sheet name="Jadwal Maintenance" sheetId="3" state="visible" r:id="rId5"/>
    <sheet name="Biaya &amp; Anggaran" sheetId="4" state="visible" r:id="rId6"/>
    <sheet name="Log Mutasi As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<sst xmlns="http://schemas.openxmlformats.org/spreadsheetml/2006/main" count="896" uniqueCount="388">
  <si>
    <t xml:space="preserve">LAPORAN MANAJEMEN ASET &amp; PENGELOLAAN GEDUNG</t>
  </si>
  <si>
    <t xml:space="preserve">PT Arunika Growth Indonesia  |  Human Resources &amp; General Affairs  |  Periode: Januari – Desember 2025</t>
  </si>
  <si>
    <t xml:space="preserve">RINGKASAN EKSEKUTIF — KEY PERFORMANCE INDICATORS</t>
  </si>
  <si>
    <t xml:space="preserve">TOTAL ASET</t>
  </si>
  <si>
    <t xml:space="preserve">NILAI ASET TOTAL</t>
  </si>
  <si>
    <t xml:space="preserve">KONDISI BAIK</t>
  </si>
  <si>
    <t xml:space="preserve">PERLU PERHATIAN</t>
  </si>
  <si>
    <t xml:space="preserve">142 Unit</t>
  </si>
  <si>
    <t xml:space="preserve">Rp 2.847.500.000</t>
  </si>
  <si>
    <t xml:space="preserve">89%</t>
  </si>
  <si>
    <t xml:space="preserve">11%</t>
  </si>
  <si>
    <t xml:space="preserve">Inventaris aktif terdaftar</t>
  </si>
  <si>
    <t xml:space="preserve">Nilai buku per Desember 2025</t>
  </si>
  <si>
    <t xml:space="preserve">126 unit kondisi baik</t>
  </si>
  <si>
    <t xml:space="preserve">16 unit perlu penanganan</t>
  </si>
  <si>
    <t xml:space="preserve">REKAPITULASI ASET PER KATEGORI</t>
  </si>
  <si>
    <t xml:space="preserve">No</t>
  </si>
  <si>
    <t xml:space="preserve">Kategori Aset</t>
  </si>
  <si>
    <t xml:space="preserve">Jumlah Unit</t>
  </si>
  <si>
    <t xml:space="preserve">Nilai Perolehan (Rp)</t>
  </si>
  <si>
    <t xml:space="preserve">Nilai Buku (Rp)</t>
  </si>
  <si>
    <t xml:space="preserve">% Kondisi Baik</t>
  </si>
  <si>
    <t xml:space="preserve">Status</t>
  </si>
  <si>
    <t xml:space="preserve">Peralatan IT &amp; Elektronik</t>
  </si>
  <si>
    <t xml:space="preserve">Rp 1.245.000.000</t>
  </si>
  <si>
    <t xml:space="preserve">Rp 780.000.000</t>
  </si>
  <si>
    <t xml:space="preserve">94%</t>
  </si>
  <si>
    <t xml:space="preserve">Baik</t>
  </si>
  <si>
    <t xml:space="preserve">Furnitur &amp; Perabot Kantor</t>
  </si>
  <si>
    <t xml:space="preserve">Rp 425.000.000</t>
  </si>
  <si>
    <t xml:space="preserve">Rp 320.000.000</t>
  </si>
  <si>
    <t xml:space="preserve">87%</t>
  </si>
  <si>
    <t xml:space="preserve">Peralatan Gedung &amp; Fasilitas</t>
  </si>
  <si>
    <t xml:space="preserve">Rp 680.000.000</t>
  </si>
  <si>
    <t xml:space="preserve">Rp 498.000.000</t>
  </si>
  <si>
    <t xml:space="preserve">82%</t>
  </si>
  <si>
    <t xml:space="preserve">Kendaraan Operasional</t>
  </si>
  <si>
    <t xml:space="preserve">Rp 380.000.000</t>
  </si>
  <si>
    <t xml:space="preserve">Rp 290.000.000</t>
  </si>
  <si>
    <t xml:space="preserve">100%</t>
  </si>
  <si>
    <t xml:space="preserve">Peralatan Keselamatan &amp; Keamanan</t>
  </si>
  <si>
    <t xml:space="preserve">Rp 95.000.000</t>
  </si>
  <si>
    <t xml:space="preserve">Rp 82.000.000</t>
  </si>
  <si>
    <t xml:space="preserve">92%</t>
  </si>
  <si>
    <t xml:space="preserve">Perlengkapan Kebersihan &amp; Umum</t>
  </si>
  <si>
    <t xml:space="preserve">Rp 22.500.000</t>
  </si>
  <si>
    <t xml:space="preserve">Rp 18.000.000</t>
  </si>
  <si>
    <t xml:space="preserve">75%</t>
  </si>
  <si>
    <t xml:space="preserve">Perhatian</t>
  </si>
  <si>
    <t xml:space="preserve">TOTAL</t>
  </si>
  <si>
    <t xml:space="preserve">Rp 1.988.000.000</t>
  </si>
  <si>
    <t xml:space="preserve">Aktif</t>
  </si>
  <si>
    <t xml:space="preserve">STATUS PENGELOLAAN GEDUNG &amp; FASILITAS</t>
  </si>
  <si>
    <t xml:space="preserve">Area/Lantai</t>
  </si>
  <si>
    <t xml:space="preserve">Fungsi</t>
  </si>
  <si>
    <t xml:space="preserve">Luas (m²)</t>
  </si>
  <si>
    <t xml:space="preserve">Kapasitas</t>
  </si>
  <si>
    <t xml:space="preserve">Kondisi</t>
  </si>
  <si>
    <t xml:space="preserve">Terakhir Maintenance</t>
  </si>
  <si>
    <t xml:space="preserve">Jadwal Berikutnya</t>
  </si>
  <si>
    <t xml:space="preserve">Penanggung Jawab</t>
  </si>
  <si>
    <t xml:space="preserve">Lantai 1</t>
  </si>
  <si>
    <t xml:space="preserve">Lobby &amp; Resepsionis</t>
  </si>
  <si>
    <t xml:space="preserve">150</t>
  </si>
  <si>
    <t xml:space="preserve">30 orang</t>
  </si>
  <si>
    <t xml:space="preserve">Nov 2025</t>
  </si>
  <si>
    <t xml:space="preserve">Feb 2026</t>
  </si>
  <si>
    <t xml:space="preserve">Tim GA</t>
  </si>
  <si>
    <t xml:space="preserve">Operasional</t>
  </si>
  <si>
    <t xml:space="preserve">Lantai 2</t>
  </si>
  <si>
    <t xml:space="preserve">Ruang Kerja Utama</t>
  </si>
  <si>
    <t xml:space="preserve">400</t>
  </si>
  <si>
    <t xml:space="preserve">50 orang</t>
  </si>
  <si>
    <t xml:space="preserve">Okt 2025</t>
  </si>
  <si>
    <t xml:space="preserve">Jan 2026</t>
  </si>
  <si>
    <t xml:space="preserve">Ruang Meeting A &amp; B</t>
  </si>
  <si>
    <t xml:space="preserve">120</t>
  </si>
  <si>
    <t xml:space="preserve">24 orang</t>
  </si>
  <si>
    <t xml:space="preserve">Des 2025</t>
  </si>
  <si>
    <t xml:space="preserve">Mar 2026</t>
  </si>
  <si>
    <t xml:space="preserve">Lantai 3</t>
  </si>
  <si>
    <t xml:space="preserve">Ruang Server &amp; IT</t>
  </si>
  <si>
    <t xml:space="preserve">80</t>
  </si>
  <si>
    <t xml:space="preserve">–</t>
  </si>
  <si>
    <t xml:space="preserve">Tim IT</t>
  </si>
  <si>
    <t xml:space="preserve">Terkontrol</t>
  </si>
  <si>
    <t xml:space="preserve">Pantry &amp; Ruang Istirahat</t>
  </si>
  <si>
    <t xml:space="preserve">90</t>
  </si>
  <si>
    <t xml:space="preserve">20 orang</t>
  </si>
  <si>
    <t xml:space="preserve">Sep 2025</t>
  </si>
  <si>
    <t xml:space="preserve">Perbaikan Ringan</t>
  </si>
  <si>
    <t xml:space="preserve">Basement</t>
  </si>
  <si>
    <t xml:space="preserve">Parkir &amp; Gudang</t>
  </si>
  <si>
    <t xml:space="preserve">300</t>
  </si>
  <si>
    <t xml:space="preserve">15 mobil</t>
  </si>
  <si>
    <t xml:space="preserve">Security</t>
  </si>
  <si>
    <t xml:space="preserve">Roof</t>
  </si>
  <si>
    <t xml:space="preserve">Panel Surya &amp; AC Sentral</t>
  </si>
  <si>
    <t xml:space="preserve">200</t>
  </si>
  <si>
    <t xml:space="preserve">Apr 2026</t>
  </si>
  <si>
    <t xml:space="preserve">Vendor</t>
  </si>
  <si>
    <t xml:space="preserve">Terjadwal</t>
  </si>
  <si>
    <t xml:space="preserve">DAFTAR INVENTARIS ASET TETAP</t>
  </si>
  <si>
    <t xml:space="preserve">PT Arunika Growth Indonesia  |  HR-GA Department  |  Tahun 2025</t>
  </si>
  <si>
    <t xml:space="preserve">Kode Aset</t>
  </si>
  <si>
    <t xml:space="preserve">Nama / Deskripsi Aset</t>
  </si>
  <si>
    <t xml:space="preserve">Kategori</t>
  </si>
  <si>
    <t xml:space="preserve">Tanggal Perolehan</t>
  </si>
  <si>
    <t xml:space="preserve">Masa Manfaat (Thn)</t>
  </si>
  <si>
    <t xml:space="preserve">Penyusutan/Thn (Rp)</t>
  </si>
  <si>
    <t xml:space="preserve">Akumulasi Susut (Rp)</t>
  </si>
  <si>
    <t xml:space="preserve">Lokasi</t>
  </si>
  <si>
    <t xml:space="preserve">Pengguna / PIC</t>
  </si>
  <si>
    <t xml:space="preserve">Terakhir Diperiksa</t>
  </si>
  <si>
    <t xml:space="preserve">Keterangan</t>
  </si>
  <si>
    <t xml:space="preserve">IT-001</t>
  </si>
  <si>
    <t xml:space="preserve">MacBook Pro M3 14"</t>
  </si>
  <si>
    <t xml:space="preserve">Peralatan IT</t>
  </si>
  <si>
    <t xml:space="preserve">Jan-25</t>
  </si>
  <si>
    <t xml:space="preserve">Nadira P.A.</t>
  </si>
  <si>
    <t xml:space="preserve">HR Staff</t>
  </si>
  <si>
    <t xml:space="preserve">IT-002</t>
  </si>
  <si>
    <t xml:space="preserve">Budi S.H.</t>
  </si>
  <si>
    <t xml:space="preserve">Direktur</t>
  </si>
  <si>
    <t xml:space="preserve">IT-003</t>
  </si>
  <si>
    <t xml:space="preserve">MacBook Air M2</t>
  </si>
  <si>
    <t xml:space="preserve">Feb-25</t>
  </si>
  <si>
    <t xml:space="preserve">Staff CS</t>
  </si>
  <si>
    <t xml:space="preserve">CS Team</t>
  </si>
  <si>
    <t xml:space="preserve">IT-004</t>
  </si>
  <si>
    <t xml:space="preserve">IT-005</t>
  </si>
  <si>
    <t xml:space="preserve">Server Dell PowerEdge</t>
  </si>
  <si>
    <t xml:space="preserve">Mar-25</t>
  </si>
  <si>
    <t xml:space="preserve">IT Dept</t>
  </si>
  <si>
    <t xml:space="preserve">IT-006</t>
  </si>
  <si>
    <t xml:space="preserve">Switch Cisco 48 Port</t>
  </si>
  <si>
    <t xml:space="preserve">IT-007</t>
  </si>
  <si>
    <t xml:space="preserve">Printer HP LaserJet</t>
  </si>
  <si>
    <t xml:space="preserve">All Staff</t>
  </si>
  <si>
    <t xml:space="preserve">Shared</t>
  </si>
  <si>
    <t xml:space="preserve">IT-008</t>
  </si>
  <si>
    <t xml:space="preserve">Proyektor Epson EB</t>
  </si>
  <si>
    <t xml:space="preserve">Meeting Rm</t>
  </si>
  <si>
    <t xml:space="preserve">IT-009</t>
  </si>
  <si>
    <t xml:space="preserve">TV LED 65" Samsung</t>
  </si>
  <si>
    <t xml:space="preserve">Lobby</t>
  </si>
  <si>
    <t xml:space="preserve">Display</t>
  </si>
  <si>
    <t xml:space="preserve">IT-010</t>
  </si>
  <si>
    <t xml:space="preserve">CCTV System (8 Kamera)</t>
  </si>
  <si>
    <t xml:space="preserve">Seluruh Lantai</t>
  </si>
  <si>
    <t xml:space="preserve">Keamanan</t>
  </si>
  <si>
    <t xml:space="preserve">FUR-001</t>
  </si>
  <si>
    <t xml:space="preserve">Meja Kerja Standing Desk (10 unit)</t>
  </si>
  <si>
    <t xml:space="preserve">Furnitur</t>
  </si>
  <si>
    <t xml:space="preserve">Open Space</t>
  </si>
  <si>
    <t xml:space="preserve">FUR-002</t>
  </si>
  <si>
    <t xml:space="preserve">Kursi Ergonomis Herman Miller (10)</t>
  </si>
  <si>
    <t xml:space="preserve">FUR-003</t>
  </si>
  <si>
    <t xml:space="preserve">Meja Meeting (4 unit)</t>
  </si>
  <si>
    <t xml:space="preserve">Meeting Room</t>
  </si>
  <si>
    <t xml:space="preserve">FUR-004</t>
  </si>
  <si>
    <t xml:space="preserve">Sofa Lobby (set)</t>
  </si>
  <si>
    <t xml:space="preserve">Tamu</t>
  </si>
  <si>
    <t xml:space="preserve">FUR-005</t>
  </si>
  <si>
    <t xml:space="preserve">Lemari Arsip Besi (5 unit)</t>
  </si>
  <si>
    <t xml:space="preserve">HR Dept</t>
  </si>
  <si>
    <t xml:space="preserve">Arsip HR</t>
  </si>
  <si>
    <t xml:space="preserve">FUR-006</t>
  </si>
  <si>
    <t xml:space="preserve">Rak Display Produk</t>
  </si>
  <si>
    <t xml:space="preserve">Marketing</t>
  </si>
  <si>
    <t xml:space="preserve">FUR-007</t>
  </si>
  <si>
    <t xml:space="preserve">Partisi Ruangan (12 panel)</t>
  </si>
  <si>
    <t xml:space="preserve">Divider</t>
  </si>
  <si>
    <t xml:space="preserve">FUR-008</t>
  </si>
  <si>
    <t xml:space="preserve">Kitchen Set Pantry</t>
  </si>
  <si>
    <t xml:space="preserve">Perlu Perbaikan</t>
  </si>
  <si>
    <t xml:space="preserve">GDG-001</t>
  </si>
  <si>
    <t xml:space="preserve">AC Central (Sistem VRV)</t>
  </si>
  <si>
    <t xml:space="preserve">Fasilitas Gedung</t>
  </si>
  <si>
    <t xml:space="preserve">Service Rutin</t>
  </si>
  <si>
    <t xml:space="preserve">GDG-002</t>
  </si>
  <si>
    <t xml:space="preserve">Genset Perkins 100 KVA</t>
  </si>
  <si>
    <t xml:space="preserve">Backup Power</t>
  </si>
  <si>
    <t xml:space="preserve">GDG-003</t>
  </si>
  <si>
    <t xml:space="preserve">Panel Surya (Solar Panel)</t>
  </si>
  <si>
    <t xml:space="preserve">Green Energy</t>
  </si>
  <si>
    <t xml:space="preserve">GDG-004</t>
  </si>
  <si>
    <t xml:space="preserve">Lift / Elevator (2 unit)</t>
  </si>
  <si>
    <t xml:space="preserve">Servis Bulanan</t>
  </si>
  <si>
    <t xml:space="preserve">GDG-005</t>
  </si>
  <si>
    <t xml:space="preserve">Sistem Sprinkler &amp; Hydrant</t>
  </si>
  <si>
    <t xml:space="preserve">Keselamatan</t>
  </si>
  <si>
    <t xml:space="preserve">GDG-006</t>
  </si>
  <si>
    <t xml:space="preserve">PABX Telepon (20 Ext.)</t>
  </si>
  <si>
    <t xml:space="preserve">Komunikasi</t>
  </si>
  <si>
    <t xml:space="preserve">KNR-001</t>
  </si>
  <si>
    <t xml:space="preserve">Toyota Avanza 2024</t>
  </si>
  <si>
    <t xml:space="preserve">Kendaraan</t>
  </si>
  <si>
    <t xml:space="preserve">Driver</t>
  </si>
  <si>
    <t xml:space="preserve">KNR-002</t>
  </si>
  <si>
    <t xml:space="preserve">Honda Vario 2024 (2 unit)</t>
  </si>
  <si>
    <t xml:space="preserve">Kurir</t>
  </si>
  <si>
    <t xml:space="preserve">KNR-003</t>
  </si>
  <si>
    <t xml:space="preserve">Sepeda Lipat (4 unit)</t>
  </si>
  <si>
    <t xml:space="preserve">Staff</t>
  </si>
  <si>
    <t xml:space="preserve">Eco Mobility</t>
  </si>
  <si>
    <t xml:space="preserve">SAF-001</t>
  </si>
  <si>
    <t xml:space="preserve">APAR CO2 (10 unit)</t>
  </si>
  <si>
    <t xml:space="preserve">Rutin Cek</t>
  </si>
  <si>
    <t xml:space="preserve">SAF-002</t>
  </si>
  <si>
    <t xml:space="preserve">AED (Defibrilator)</t>
  </si>
  <si>
    <t xml:space="preserve">P3K Kritis</t>
  </si>
  <si>
    <t xml:space="preserve">SAF-003</t>
  </si>
  <si>
    <t xml:space="preserve">Access Control (Fingerprint)</t>
  </si>
  <si>
    <t xml:space="preserve">Semua Pintu</t>
  </si>
  <si>
    <t xml:space="preserve">JADWAL PEMELIHARAAN ASET &amp; GEDUNG</t>
  </si>
  <si>
    <t xml:space="preserve">PT Arunika Growth Indonesia  |  Periode: Januari – Desember 2025</t>
  </si>
  <si>
    <t xml:space="preserve">Nama Aset / Area</t>
  </si>
  <si>
    <t xml:space="preserve">Jenis Maintenance</t>
  </si>
  <si>
    <t xml:space="preserve">Frekuensi</t>
  </si>
  <si>
    <t xml:space="preserve">PIC / Vendor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</si>
  <si>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</si>
  <si>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</si>
  <si>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</si>
  <si>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</si>
  <si>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</si>
  <si>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</si>
  <si>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</si>
  <si>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Ags</t>
  </si>
  <si>
    <t xml:space="preserve">Sep</t>
  </si>
  <si>
    <t xml:space="preserve">Okt</t>
  </si>
  <si>
    <t xml:space="preserve">Nov</t>
  </si>
  <si>
    <t xml:space="preserve">Des</t>
  </si>
  <si>
    <t xml:space="preserve">Status 2025</t>
  </si>
  <si>
    <t xml:space="preserve">AC Central</t>
  </si>
  <si>
    <t xml:space="preserve">Bulanan</t>
  </si>
  <si>
    <t xml:space="preserve">Vendor AC</t>
  </si>
  <si>
    <t xml:space="preserve">V</t>
  </si>
  <si>
    <t xml:space="preserve">Selesai</t>
  </si>
  <si>
    <t xml:space="preserve">Genset Perkins</t>
  </si>
  <si>
    <t xml:space="preserve">Uji Coba &amp; Service</t>
  </si>
  <si>
    <t xml:space="preserve">Vendor Gen</t>
  </si>
  <si>
    <t xml:space="preserve">Lift / Elevator</t>
  </si>
  <si>
    <t xml:space="preserve">Inspeksi Rutin</t>
  </si>
  <si>
    <t xml:space="preserve">Vendor Lift</t>
  </si>
  <si>
    <t xml:space="preserve">Sprinkler &amp; Hydrant</t>
  </si>
  <si>
    <t xml:space="preserve">Uji Tekanan</t>
  </si>
  <si>
    <t xml:space="preserve">Triwulan</t>
  </si>
  <si>
    <t xml:space="preserve">-</t>
  </si>
  <si>
    <t xml:space="preserve">APAR CO2</t>
  </si>
  <si>
    <t xml:space="preserve">Pemeriksaan &amp; Isi Ulang</t>
  </si>
  <si>
    <t xml:space="preserve">6 Bulan</t>
  </si>
  <si>
    <t xml:space="preserve">AED</t>
  </si>
  <si>
    <t xml:space="preserve">Kalibrasi &amp; Uji Fungsi</t>
  </si>
  <si>
    <t xml:space="preserve">Tahunan</t>
  </si>
  <si>
    <t xml:space="preserve">Vendor Med</t>
  </si>
  <si>
    <t xml:space="preserve">Dijadwalkan</t>
  </si>
  <si>
    <t xml:space="preserve">Server Dell</t>
  </si>
  <si>
    <t xml:space="preserve">Backup &amp; Health Check</t>
  </si>
  <si>
    <t xml:space="preserve">CCTV System</t>
  </si>
  <si>
    <t xml:space="preserve">Rekam &amp; Kalibrasi</t>
  </si>
  <si>
    <t xml:space="preserve">Panel Surya</t>
  </si>
  <si>
    <t xml:space="preserve">Pembersihan Panel</t>
  </si>
  <si>
    <t xml:space="preserve">Vendor PV</t>
  </si>
  <si>
    <t xml:space="preserve">Toyota Avanza</t>
  </si>
  <si>
    <t xml:space="preserve">Service Berkala</t>
  </si>
  <si>
    <t xml:space="preserve">3 Bulan</t>
  </si>
  <si>
    <t xml:space="preserve">Bengkel</t>
  </si>
  <si>
    <t xml:space="preserve">Honda Vario (2)</t>
  </si>
  <si>
    <t xml:space="preserve">Ruang Pantry</t>
  </si>
  <si>
    <t xml:space="preserve">Perbaikan Fasilitas</t>
  </si>
  <si>
    <t xml:space="preserve">Insidental</t>
  </si>
  <si>
    <t xml:space="preserve">X</t>
  </si>
  <si>
    <t xml:space="preserve">Dalam Proses</t>
  </si>
  <si>
    <t xml:space="preserve">Kitchen Set</t>
  </si>
  <si>
    <t xml:space="preserve">Perbaikan Engsel &amp; Kran</t>
  </si>
  <si>
    <t xml:space="preserve">Gedung (Eksterior)</t>
  </si>
  <si>
    <t xml:space="preserve">Pengecatan Ulang</t>
  </si>
  <si>
    <t xml:space="preserve">Kontraktor</t>
  </si>
  <si>
    <t xml:space="preserve">BLDG</t>
  </si>
  <si>
    <t xml:space="preserve">Deep Cleaning</t>
  </si>
  <si>
    <t xml:space="preserve">CS Vendor</t>
  </si>
  <si>
    <t xml:space="preserve">LAPORAN REALISASI BIAYA PENGELOLAAN GEDUNG &amp; ASET</t>
  </si>
  <si>
    <t xml:space="preserve">REALISASI VS ANGGARAN BIAYA GA (JANUARI – DESEMBER 2025)</t>
  </si>
  <si>
    <t xml:space="preserve">Pos Biaya / Kegiatan</t>
  </si>
  <si>
    <t xml:space="preserve">Anggaran (Rp)</t>
  </si>
  <si>
    <t xml:space="preserve">Realisasi (Rp)</t>
  </si>
  <si>
    <t xml:space="preserve">Selisih (Rp)</t>
  </si>
  <si>
    <t xml:space="preserve">% Realisasi</t>
  </si>
  <si>
    <t xml:space="preserve">Operasional &amp; Utilities</t>
  </si>
  <si>
    <t xml:space="preserve">1</t>
  </si>
  <si>
    <t xml:space="preserve">Tagihan Listrik</t>
  </si>
  <si>
    <t xml:space="preserve">Hemat 5%</t>
  </si>
  <si>
    <t xml:space="preserve">2</t>
  </si>
  <si>
    <t xml:space="preserve">Tagihan Air &amp; PDAM</t>
  </si>
  <si>
    <t xml:space="preserve">Normal</t>
  </si>
  <si>
    <t xml:space="preserve">3</t>
  </si>
  <si>
    <t xml:space="preserve">Tagihan Internet &amp; Telepon</t>
  </si>
  <si>
    <t xml:space="preserve">4</t>
  </si>
  <si>
    <t xml:space="preserve">Keamanan Gedung (Security)</t>
  </si>
  <si>
    <t xml:space="preserve">Sesuai Kontrak</t>
  </si>
  <si>
    <t xml:space="preserve">5</t>
  </si>
  <si>
    <t xml:space="preserve">Kebersihan &amp; Cleaning Service</t>
  </si>
  <si>
    <t xml:space="preserve">Maintenance &amp; Perbaikan</t>
  </si>
  <si>
    <t xml:space="preserve">6</t>
  </si>
  <si>
    <t xml:space="preserve">Service AC (Vendor)</t>
  </si>
  <si>
    <t xml:space="preserve">Hemat</t>
  </si>
  <si>
    <t xml:space="preserve">7</t>
  </si>
  <si>
    <t xml:space="preserve">Service Genset &amp; Panel Listrik</t>
  </si>
  <si>
    <t xml:space="preserve">Overbudget</t>
  </si>
  <si>
    <t xml:space="preserve">8</t>
  </si>
  <si>
    <t xml:space="preserve">Service Lift / Elevator</t>
  </si>
  <si>
    <t xml:space="preserve">9</t>
  </si>
  <si>
    <t xml:space="preserve">Perbaikan Fasilitas (Insidental)</t>
  </si>
  <si>
    <t xml:space="preserve">10</t>
  </si>
  <si>
    <t xml:space="preserve">Pengecatan &amp; Renovasi Ringan</t>
  </si>
  <si>
    <t xml:space="preserve">Dijadwal Q4</t>
  </si>
  <si>
    <t xml:space="preserve">Pengadaan Aset Baru</t>
  </si>
  <si>
    <t xml:space="preserve">11</t>
  </si>
  <si>
    <t xml:space="preserve">Pengadaan Peralatan IT</t>
  </si>
  <si>
    <t xml:space="preserve">12</t>
  </si>
  <si>
    <t xml:space="preserve">Pengadaan Furnitur</t>
  </si>
  <si>
    <t xml:space="preserve">13</t>
  </si>
  <si>
    <t xml:space="preserve">Pengadaan Peralatan Safety</t>
  </si>
  <si>
    <t xml:space="preserve">14</t>
  </si>
  <si>
    <t xml:space="preserve">Sesuai Plan</t>
  </si>
  <si>
    <t xml:space="preserve">Lain-Lain</t>
  </si>
  <si>
    <t xml:space="preserve">15</t>
  </si>
  <si>
    <t xml:space="preserve">Asuransi Aset Gedung</t>
  </si>
  <si>
    <t xml:space="preserve">Sudah Dibayar</t>
  </si>
  <si>
    <t xml:space="preserve">16</t>
  </si>
  <si>
    <t xml:space="preserve">Pajak Bumi dan Bangunan</t>
  </si>
  <si>
    <t xml:space="preserve">Lunas</t>
  </si>
  <si>
    <t xml:space="preserve">17</t>
  </si>
  <si>
    <t xml:space="preserve">Biaya Tak Terduga (Contingency)</t>
  </si>
  <si>
    <t xml:space="preserve">Tersisa</t>
  </si>
  <si>
    <t xml:space="preserve">TOTAL ANGGARAN &amp; REALISASI</t>
  </si>
  <si>
    <t xml:space="preserve">LOG MUTASI &amp; PERUBAHAN STATUS ASET</t>
  </si>
  <si>
    <t xml:space="preserve">Tanggal</t>
  </si>
  <si>
    <t xml:space="preserve">Nama Aset</t>
  </si>
  <si>
    <t xml:space="preserve">Jenis Mutasi</t>
  </si>
  <si>
    <t xml:space="preserve">Dari Lokasi/Status</t>
  </si>
  <si>
    <t xml:space="preserve">Ke Lokasi/Status</t>
  </si>
  <si>
    <t xml:space="preserve">PIC Approval</t>
  </si>
  <si>
    <t xml:space="preserve">Keterangan / Dokumen Terkait</t>
  </si>
  <si>
    <t xml:space="preserve">05 Jan 2025</t>
  </si>
  <si>
    <t xml:space="preserve">MacBook Pro M3</t>
  </si>
  <si>
    <t xml:space="preserve">Perolehan Baru</t>
  </si>
  <si>
    <t xml:space="preserve">Lantai 2 / HR Staff</t>
  </si>
  <si>
    <t xml:space="preserve">BA Perolehan No.001/AGI/Jan/2025</t>
  </si>
  <si>
    <t xml:space="preserve">AC Central VRV</t>
  </si>
  <si>
    <t xml:space="preserve">BA Perolehan No.002/AGI/Jan/2025</t>
  </si>
  <si>
    <t xml:space="preserve">10 Feb 2025</t>
  </si>
  <si>
    <t xml:space="preserve">Peminjaman</t>
  </si>
  <si>
    <t xml:space="preserve">Gudang IT</t>
  </si>
  <si>
    <t xml:space="preserve">Lantai 2 / CS Staff</t>
  </si>
  <si>
    <t xml:space="preserve">Form Peminjaman No.PJM-001/Feb/2025</t>
  </si>
  <si>
    <t xml:space="preserve">01 Mar 2025</t>
  </si>
  <si>
    <t xml:space="preserve">Lantai 3 / Server Room</t>
  </si>
  <si>
    <t xml:space="preserve">BA Perolehan No.005/AGI/Mar/2025</t>
  </si>
  <si>
    <t xml:space="preserve">15 Mar 2025</t>
  </si>
  <si>
    <t xml:space="preserve">Sepeda Lipat</t>
  </si>
  <si>
    <t xml:space="preserve">BA Perolehan No.008/AGI/Mar/2025</t>
  </si>
  <si>
    <t xml:space="preserve">20 Apr 2025</t>
  </si>
  <si>
    <t xml:space="preserve">Meja Standing (10)</t>
  </si>
  <si>
    <t xml:space="preserve">Penempatan Ulang</t>
  </si>
  <si>
    <t xml:space="preserve">Gudang</t>
  </si>
  <si>
    <t xml:space="preserve">Lantai 2 Open Space</t>
  </si>
  <si>
    <t xml:space="preserve">Memo Internal No.GA-003/Apr/2025</t>
  </si>
  <si>
    <t xml:space="preserve">10 Jun 2025</t>
  </si>
  <si>
    <t xml:space="preserve">Perbaikan</t>
  </si>
  <si>
    <t xml:space="preserve">Workshop Vendor</t>
  </si>
  <si>
    <t xml:space="preserve">WO Perbaikan No.WO-001/Jun/2025 — Selesai 12 Jun</t>
  </si>
  <si>
    <t xml:space="preserve">03 Sep 2025</t>
  </si>
  <si>
    <t xml:space="preserve">WO Perbaikan No.WO-002/Sep/2025 — Dalam Proses</t>
  </si>
  <si>
    <t xml:space="preserve">15 Sep 2025</t>
  </si>
  <si>
    <t xml:space="preserve">WO Perbaikan No.WO-003/Sep/2025 — Dalam Proses</t>
  </si>
  <si>
    <t xml:space="preserve">01 Okt 2025</t>
  </si>
  <si>
    <t xml:space="preserve">Pengisian Ulang</t>
  </si>
  <si>
    <t xml:space="preserve">Seluruh Lantai (selesai)</t>
  </si>
  <si>
    <t xml:space="preserve">BA Service No.SRV-002/Okt/2025</t>
  </si>
  <si>
    <t xml:space="preserve">20 Nov 2025</t>
  </si>
  <si>
    <t xml:space="preserve">Peminjaman Sementara</t>
  </si>
  <si>
    <t xml:space="preserve">Ruang Training</t>
  </si>
  <si>
    <t xml:space="preserve">Form Peminjaman No.PJM-002/Nov/2025</t>
  </si>
  <si>
    <t xml:space="preserve">01 Des 2025</t>
  </si>
  <si>
    <t xml:space="preserve">Bengkel Resmi Toyota</t>
  </si>
  <si>
    <t xml:space="preserve">WO Service No.SRV-003/Des/2025 — Kembali 3 Des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</si>
</sst>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CCE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6AA5"/>
      <name val="Arial"/>
      <family val="0"/>
      <charset val="1"/>
    </font>
    <font>
      <b val="true"/>
      <sz val="9"/>
      <color rgb="FF0D7E8A"/>
      <name val="Arial"/>
      <family val="0"/>
      <charset val="1"/>
    </font>
    <font>
      <b val="true"/>
      <sz val="9"/>
      <color rgb="FF1E7E4A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14"/>
      <color rgb="FF1F6AA5"/>
      <name val="Arial"/>
      <family val="0"/>
      <charset val="1"/>
    </font>
    <font>
      <b val="true"/>
      <sz val="14"/>
      <color rgb="FF0D7E8A"/>
      <name val="Arial"/>
      <family val="0"/>
      <charset val="1"/>
    </font>
    <font>
      <b val="true"/>
      <sz val="14"/>
      <color rgb="FF1E7E4A"/>
      <name val="Arial"/>
      <family val="0"/>
      <charset val="1"/>
    </font>
    <font>
      <b val="true"/>
      <sz val="14"/>
      <color rgb="FFD354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6AA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7E4A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1F6AA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B7950B"/>
      <name val="Arial"/>
      <family val="0"/>
      <charset val="1"/>
    </font>
    <font>
      <b val="true"/>
      <sz val="10"/>
      <color rgb="FF0D7E8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0D7E8A"/>
        <bgColor rgb="FF1F6AA5"/>
      </patternFill>
    </fill>
    <fill>
      <patternFill patternType="solid">
        <fgColor rgb="FFF5F5F5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1F6AA5"/>
        <bgColor rgb="FF0D7E8A"/>
      </patternFill>
    </fill>
    <fill>
      <patternFill patternType="solid">
        <fgColor rgb="FFD6E8F7"/>
        <bgColor rgb="FFD0EFEF"/>
      </patternFill>
    </fill>
    <fill>
      <patternFill patternType="solid">
        <fgColor rgb="FFE8F8EF"/>
        <bgColor rgb="FFF5F5F5"/>
      </patternFill>
    </fill>
    <fill>
      <patternFill patternType="solid">
        <fgColor rgb="FFFEF0E7"/>
        <bgColor rgb="FFFEF9E7"/>
      </patternFill>
    </fill>
    <fill>
      <patternFill patternType="solid">
        <fgColor rgb="FFD0EFEF"/>
        <bgColor rgb="FFD6E8F7"/>
      </patternFill>
    </fill>
    <fill>
      <patternFill patternType="solid">
        <fgColor rgb="FFFEF9E7"/>
        <bgColor rgb="FFFEF0E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/>
      <top style="medium">
        <color rgb="FF333333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7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5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5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7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D7E8A"/>
      <rgbColor rgb="FFC0C0C0"/>
      <rgbColor rgb="FF808080"/>
      <rgbColor rgb="FF9999FF"/>
      <rgbColor rgb="FF993366"/>
      <rgbColor rgb="FFFEF9E7"/>
      <rgbColor rgb="FFD0EFEF"/>
      <rgbColor rgb="FF660066"/>
      <rgbColor rgb="FFFF8080"/>
      <rgbColor rgb="FF1F6AA5"/>
      <rgbColor rgb="FFD6E8F7"/>
      <rgbColor rgb="FF000080"/>
      <rgbColor rgb="FFFF00FF"/>
      <rgbColor rgb="FFFFFF00"/>
      <rgbColor rgb="FF00FFFF"/>
      <rgbColor rgb="FF800080"/>
      <rgbColor rgb="FF800000"/>
      <rgbColor rgb="FF1E7E4A"/>
      <rgbColor rgb="FF0000FF"/>
      <rgbColor rgb="FF00CCFF"/>
      <rgbColor rgb="FFE8F8EF"/>
      <rgbColor rgb="FFF5F5F5"/>
      <rgbColor rgb="FFFEF0E7"/>
      <rgbColor rgb="FFAACC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66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0" min="3" style="0" width="16"/>
    <col collapsed="false" customWidth="true" hidden="false" outlineLevel="0" max="12" min="11" style="0" width="18"/>
  </cols>
  <sheetData>
    <row r="1" customFormat="false" ht="18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4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8" hidden="false" customHeight="true" outlineLevel="0" collapsed="false"/>
    <row r="5" customFormat="false" ht="21.7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8" hidden="false" customHeight="true" outlineLevel="0" collapsed="false">
      <c r="B6" s="4" t="s">
        <v>3</v>
      </c>
      <c r="C6" s="4"/>
      <c r="D6" s="4"/>
      <c r="E6" s="5" t="s">
        <v>4</v>
      </c>
      <c r="F6" s="5"/>
      <c r="G6" s="5"/>
      <c r="H6" s="6" t="s">
        <v>5</v>
      </c>
      <c r="I6" s="6"/>
      <c r="J6" s="6"/>
      <c r="K6" s="7" t="s">
        <v>6</v>
      </c>
      <c r="L6" s="7"/>
      <c r="M6" s="7"/>
    </row>
    <row r="7" customFormat="false" ht="27.75" hidden="false" customHeight="true" outlineLevel="0" collapsed="false">
      <c r="B7" s="8" t="s">
        <v>7</v>
      </c>
      <c r="C7" s="8"/>
      <c r="D7" s="8"/>
      <c r="E7" s="9" t="s">
        <v>8</v>
      </c>
      <c r="F7" s="9"/>
      <c r="G7" s="9"/>
      <c r="H7" s="10" t="s">
        <v>9</v>
      </c>
      <c r="I7" s="10"/>
      <c r="J7" s="10"/>
      <c r="K7" s="11" t="s">
        <v>10</v>
      </c>
      <c r="L7" s="11"/>
      <c r="M7" s="11"/>
    </row>
    <row r="8" customFormat="false" ht="27.75" hidden="false" customHeight="true" outlineLevel="0" collapsed="false">
      <c r="B8" s="8"/>
      <c r="C8" s="8"/>
      <c r="D8" s="8"/>
      <c r="E8" s="9"/>
      <c r="F8" s="9"/>
      <c r="G8" s="9"/>
      <c r="H8" s="10"/>
      <c r="I8" s="10"/>
      <c r="J8" s="10"/>
      <c r="K8" s="11"/>
      <c r="L8" s="11"/>
      <c r="M8" s="11"/>
    </row>
    <row r="9" customFormat="false" ht="15.75" hidden="false" customHeight="true" outlineLevel="0" collapsed="false">
      <c r="B9" s="12" t="s">
        <v>11</v>
      </c>
      <c r="C9" s="12"/>
      <c r="D9" s="12"/>
      <c r="E9" s="12" t="s">
        <v>12</v>
      </c>
      <c r="F9" s="12"/>
      <c r="G9" s="12"/>
      <c r="H9" s="12" t="s">
        <v>13</v>
      </c>
      <c r="I9" s="12"/>
      <c r="J9" s="12"/>
      <c r="K9" s="12" t="s">
        <v>14</v>
      </c>
      <c r="L9" s="12"/>
      <c r="M9" s="12"/>
    </row>
    <row r="10" customFormat="false" ht="18" hidden="false" customHeight="true" outlineLevel="0" collapsed="false"/>
    <row r="11" customFormat="false" ht="21.75" hidden="false" customHeight="true" outlineLevel="0" collapsed="false">
      <c r="B11" s="13" t="s">
        <v>15</v>
      </c>
      <c r="C11" s="13"/>
      <c r="D11" s="13"/>
      <c r="E11" s="13"/>
      <c r="F11" s="13"/>
      <c r="G11" s="13"/>
    </row>
    <row r="12" customFormat="false" ht="21.75" hidden="false" customHeight="true" outlineLevel="0" collapsed="false">
      <c r="B12" s="14" t="s">
        <v>16</v>
      </c>
      <c r="C12" s="14" t="s">
        <v>17</v>
      </c>
      <c r="D12" s="14" t="s">
        <v>18</v>
      </c>
      <c r="E12" s="14" t="s">
        <v>19</v>
      </c>
      <c r="F12" s="14" t="s">
        <v>20</v>
      </c>
      <c r="G12" s="14" t="s">
        <v>21</v>
      </c>
      <c r="H12" s="14" t="s">
        <v>22</v>
      </c>
    </row>
    <row r="13" customFormat="false" ht="18" hidden="false" customHeight="true" outlineLevel="0" collapsed="false">
      <c r="B13" s="15" t="n">
        <v>1</v>
      </c>
      <c r="C13" s="16" t="s">
        <v>23</v>
      </c>
      <c r="D13" s="17" t="n">
        <v>52</v>
      </c>
      <c r="E13" s="16" t="s">
        <v>24</v>
      </c>
      <c r="F13" s="16" t="s">
        <v>25</v>
      </c>
      <c r="G13" s="17" t="s">
        <v>26</v>
      </c>
      <c r="H13" s="18" t="s">
        <v>27</v>
      </c>
    </row>
    <row r="14" customFormat="false" ht="18" hidden="false" customHeight="true" outlineLevel="0" collapsed="false">
      <c r="B14" s="19" t="n">
        <v>2</v>
      </c>
      <c r="C14" s="20" t="s">
        <v>28</v>
      </c>
      <c r="D14" s="21" t="n">
        <v>38</v>
      </c>
      <c r="E14" s="20" t="s">
        <v>29</v>
      </c>
      <c r="F14" s="20" t="s">
        <v>30</v>
      </c>
      <c r="G14" s="21" t="s">
        <v>31</v>
      </c>
      <c r="H14" s="18" t="s">
        <v>27</v>
      </c>
    </row>
    <row r="15" customFormat="false" ht="18" hidden="false" customHeight="true" outlineLevel="0" collapsed="false">
      <c r="B15" s="15" t="n">
        <v>3</v>
      </c>
      <c r="C15" s="16" t="s">
        <v>32</v>
      </c>
      <c r="D15" s="17" t="n">
        <v>28</v>
      </c>
      <c r="E15" s="16" t="s">
        <v>33</v>
      </c>
      <c r="F15" s="16" t="s">
        <v>34</v>
      </c>
      <c r="G15" s="17" t="s">
        <v>35</v>
      </c>
      <c r="H15" s="18" t="s">
        <v>27</v>
      </c>
    </row>
    <row r="16" customFormat="false" ht="18" hidden="false" customHeight="true" outlineLevel="0" collapsed="false">
      <c r="B16" s="19" t="n">
        <v>4</v>
      </c>
      <c r="C16" s="20" t="s">
        <v>36</v>
      </c>
      <c r="D16" s="21" t="n">
        <v>4</v>
      </c>
      <c r="E16" s="20" t="s">
        <v>37</v>
      </c>
      <c r="F16" s="20" t="s">
        <v>38</v>
      </c>
      <c r="G16" s="21" t="s">
        <v>39</v>
      </c>
      <c r="H16" s="18" t="s">
        <v>27</v>
      </c>
    </row>
    <row r="17" customFormat="false" ht="18" hidden="false" customHeight="true" outlineLevel="0" collapsed="false">
      <c r="B17" s="15" t="n">
        <v>5</v>
      </c>
      <c r="C17" s="16" t="s">
        <v>40</v>
      </c>
      <c r="D17" s="17" t="n">
        <v>12</v>
      </c>
      <c r="E17" s="16" t="s">
        <v>41</v>
      </c>
      <c r="F17" s="16" t="s">
        <v>42</v>
      </c>
      <c r="G17" s="17" t="s">
        <v>43</v>
      </c>
      <c r="H17" s="18" t="s">
        <v>27</v>
      </c>
    </row>
    <row r="18" customFormat="false" ht="18" hidden="false" customHeight="true" outlineLevel="0" collapsed="false">
      <c r="B18" s="19" t="n">
        <v>6</v>
      </c>
      <c r="C18" s="20" t="s">
        <v>44</v>
      </c>
      <c r="D18" s="21" t="n">
        <v>8</v>
      </c>
      <c r="E18" s="20" t="s">
        <v>45</v>
      </c>
      <c r="F18" s="20" t="s">
        <v>46</v>
      </c>
      <c r="G18" s="21" t="s">
        <v>47</v>
      </c>
      <c r="H18" s="22" t="s">
        <v>48</v>
      </c>
    </row>
    <row r="19" customFormat="false" ht="19.5" hidden="false" customHeight="true" outlineLevel="0" collapsed="false">
      <c r="B19" s="23"/>
      <c r="C19" s="23" t="s">
        <v>49</v>
      </c>
      <c r="D19" s="23" t="n">
        <v>142</v>
      </c>
      <c r="E19" s="23" t="s">
        <v>8</v>
      </c>
      <c r="F19" s="23" t="s">
        <v>50</v>
      </c>
      <c r="G19" s="23" t="s">
        <v>9</v>
      </c>
      <c r="H19" s="23" t="s">
        <v>51</v>
      </c>
      <c r="I19" s="23"/>
    </row>
    <row r="20" customFormat="false" ht="18" hidden="false" customHeight="true" outlineLevel="0" collapsed="false"/>
    <row r="21" customFormat="false" ht="21.75" hidden="false" customHeight="true" outlineLevel="0" collapsed="false">
      <c r="B21" s="3" t="s">
        <v>52</v>
      </c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21.75" hidden="false" customHeight="true" outlineLevel="0" collapsed="false">
      <c r="B22" s="24" t="s">
        <v>53</v>
      </c>
      <c r="C22" s="24" t="s">
        <v>54</v>
      </c>
      <c r="D22" s="24" t="s">
        <v>55</v>
      </c>
      <c r="E22" s="24" t="s">
        <v>56</v>
      </c>
      <c r="F22" s="24" t="s">
        <v>57</v>
      </c>
      <c r="G22" s="24" t="s">
        <v>58</v>
      </c>
      <c r="H22" s="24" t="s">
        <v>59</v>
      </c>
      <c r="I22" s="24" t="s">
        <v>60</v>
      </c>
      <c r="J22" s="24" t="s">
        <v>22</v>
      </c>
    </row>
    <row r="23" customFormat="false" ht="18" hidden="false" customHeight="true" outlineLevel="0" collapsed="false">
      <c r="B23" s="16" t="s">
        <v>61</v>
      </c>
      <c r="C23" s="16" t="s">
        <v>62</v>
      </c>
      <c r="D23" s="17" t="s">
        <v>63</v>
      </c>
      <c r="E23" s="17" t="s">
        <v>64</v>
      </c>
      <c r="F23" s="18" t="s">
        <v>27</v>
      </c>
      <c r="G23" s="16" t="s">
        <v>65</v>
      </c>
      <c r="H23" s="16" t="s">
        <v>66</v>
      </c>
      <c r="I23" s="16" t="s">
        <v>67</v>
      </c>
      <c r="J23" s="25" t="s">
        <v>68</v>
      </c>
    </row>
    <row r="24" customFormat="false" ht="18" hidden="false" customHeight="true" outlineLevel="0" collapsed="false">
      <c r="B24" s="20" t="s">
        <v>69</v>
      </c>
      <c r="C24" s="20" t="s">
        <v>70</v>
      </c>
      <c r="D24" s="21" t="s">
        <v>71</v>
      </c>
      <c r="E24" s="21" t="s">
        <v>72</v>
      </c>
      <c r="F24" s="18" t="s">
        <v>27</v>
      </c>
      <c r="G24" s="20" t="s">
        <v>73</v>
      </c>
      <c r="H24" s="20" t="s">
        <v>74</v>
      </c>
      <c r="I24" s="20" t="s">
        <v>67</v>
      </c>
      <c r="J24" s="25" t="s">
        <v>68</v>
      </c>
    </row>
    <row r="25" customFormat="false" ht="18" hidden="false" customHeight="true" outlineLevel="0" collapsed="false">
      <c r="B25" s="16" t="s">
        <v>69</v>
      </c>
      <c r="C25" s="16" t="s">
        <v>75</v>
      </c>
      <c r="D25" s="17" t="s">
        <v>76</v>
      </c>
      <c r="E25" s="17" t="s">
        <v>77</v>
      </c>
      <c r="F25" s="18" t="s">
        <v>27</v>
      </c>
      <c r="G25" s="16" t="s">
        <v>78</v>
      </c>
      <c r="H25" s="16" t="s">
        <v>79</v>
      </c>
      <c r="I25" s="16" t="s">
        <v>67</v>
      </c>
      <c r="J25" s="25" t="s">
        <v>68</v>
      </c>
    </row>
    <row r="26" customFormat="false" ht="18" hidden="false" customHeight="true" outlineLevel="0" collapsed="false">
      <c r="B26" s="20" t="s">
        <v>80</v>
      </c>
      <c r="C26" s="20" t="s">
        <v>81</v>
      </c>
      <c r="D26" s="21" t="s">
        <v>82</v>
      </c>
      <c r="E26" s="21" t="s">
        <v>83</v>
      </c>
      <c r="F26" s="18" t="s">
        <v>27</v>
      </c>
      <c r="G26" s="20" t="s">
        <v>78</v>
      </c>
      <c r="H26" s="20" t="s">
        <v>79</v>
      </c>
      <c r="I26" s="20" t="s">
        <v>84</v>
      </c>
      <c r="J26" s="26" t="s">
        <v>85</v>
      </c>
    </row>
    <row r="27" customFormat="false" ht="18" hidden="false" customHeight="true" outlineLevel="0" collapsed="false">
      <c r="B27" s="16" t="s">
        <v>80</v>
      </c>
      <c r="C27" s="16" t="s">
        <v>86</v>
      </c>
      <c r="D27" s="17" t="s">
        <v>87</v>
      </c>
      <c r="E27" s="17" t="s">
        <v>88</v>
      </c>
      <c r="F27" s="22" t="s">
        <v>48</v>
      </c>
      <c r="G27" s="16" t="s">
        <v>89</v>
      </c>
      <c r="H27" s="16" t="s">
        <v>74</v>
      </c>
      <c r="I27" s="16" t="s">
        <v>67</v>
      </c>
      <c r="J27" s="22" t="s">
        <v>90</v>
      </c>
    </row>
    <row r="28" customFormat="false" ht="18" hidden="false" customHeight="true" outlineLevel="0" collapsed="false">
      <c r="B28" s="20" t="s">
        <v>91</v>
      </c>
      <c r="C28" s="20" t="s">
        <v>92</v>
      </c>
      <c r="D28" s="21" t="s">
        <v>93</v>
      </c>
      <c r="E28" s="21" t="s">
        <v>94</v>
      </c>
      <c r="F28" s="18" t="s">
        <v>27</v>
      </c>
      <c r="G28" s="20" t="s">
        <v>65</v>
      </c>
      <c r="H28" s="20" t="s">
        <v>66</v>
      </c>
      <c r="I28" s="20" t="s">
        <v>95</v>
      </c>
      <c r="J28" s="25" t="s">
        <v>68</v>
      </c>
    </row>
    <row r="29" customFormat="false" ht="18" hidden="false" customHeight="true" outlineLevel="0" collapsed="false">
      <c r="B29" s="16" t="s">
        <v>96</v>
      </c>
      <c r="C29" s="16" t="s">
        <v>97</v>
      </c>
      <c r="D29" s="17" t="s">
        <v>98</v>
      </c>
      <c r="E29" s="17" t="s">
        <v>83</v>
      </c>
      <c r="F29" s="18" t="s">
        <v>27</v>
      </c>
      <c r="G29" s="16" t="s">
        <v>78</v>
      </c>
      <c r="H29" s="16" t="s">
        <v>99</v>
      </c>
      <c r="I29" s="16" t="s">
        <v>100</v>
      </c>
      <c r="J29" s="22" t="s">
        <v>101</v>
      </c>
    </row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17">
    <mergeCell ref="B2:L2"/>
    <mergeCell ref="B3:L3"/>
    <mergeCell ref="B5:L5"/>
    <mergeCell ref="B6:D6"/>
    <mergeCell ref="E6:G6"/>
    <mergeCell ref="H6:J6"/>
    <mergeCell ref="K6:M6"/>
    <mergeCell ref="B7:D8"/>
    <mergeCell ref="E7:G8"/>
    <mergeCell ref="H7:J8"/>
    <mergeCell ref="K7:M8"/>
    <mergeCell ref="B9:D9"/>
    <mergeCell ref="E9:G9"/>
    <mergeCell ref="H9:J9"/>
    <mergeCell ref="K9:M9"/>
    <mergeCell ref="B11:G11"/>
    <mergeCell ref="B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8" min="7" style="0" width="15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31.5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4" hidden="false" customHeight="true" outlineLevel="0" collapsed="false">
      <c r="A3" s="27" t="s">
        <v>16</v>
      </c>
      <c r="B3" s="27" t="s">
        <v>104</v>
      </c>
      <c r="C3" s="27" t="s">
        <v>105</v>
      </c>
      <c r="D3" s="27" t="s">
        <v>106</v>
      </c>
      <c r="E3" s="27" t="s">
        <v>107</v>
      </c>
      <c r="F3" s="27" t="s">
        <v>19</v>
      </c>
      <c r="G3" s="27" t="s">
        <v>108</v>
      </c>
      <c r="H3" s="27" t="s">
        <v>109</v>
      </c>
      <c r="I3" s="27" t="s">
        <v>110</v>
      </c>
      <c r="J3" s="27" t="s">
        <v>20</v>
      </c>
      <c r="K3" s="27" t="s">
        <v>111</v>
      </c>
      <c r="L3" s="27" t="s">
        <v>57</v>
      </c>
      <c r="M3" s="27" t="s">
        <v>112</v>
      </c>
      <c r="N3" s="27" t="s">
        <v>113</v>
      </c>
      <c r="O3" s="27" t="s">
        <v>114</v>
      </c>
    </row>
    <row r="4" customFormat="false" ht="18" hidden="false" customHeight="true" outlineLevel="0" collapsed="false">
      <c r="A4" s="15" t="n">
        <v>1</v>
      </c>
      <c r="B4" s="28" t="s">
        <v>115</v>
      </c>
      <c r="C4" s="16" t="s">
        <v>116</v>
      </c>
      <c r="D4" s="16" t="s">
        <v>117</v>
      </c>
      <c r="E4" s="17" t="s">
        <v>118</v>
      </c>
      <c r="F4" s="29" t="n">
        <v>28000000</v>
      </c>
      <c r="G4" s="17" t="n">
        <v>4</v>
      </c>
      <c r="H4" s="29" t="n">
        <v>7000000</v>
      </c>
      <c r="I4" s="29" t="n">
        <v>1750000</v>
      </c>
      <c r="J4" s="29" t="n">
        <v>26250000</v>
      </c>
      <c r="K4" s="16" t="s">
        <v>69</v>
      </c>
      <c r="L4" s="18" t="s">
        <v>27</v>
      </c>
      <c r="M4" s="16" t="s">
        <v>119</v>
      </c>
      <c r="N4" s="17" t="s">
        <v>78</v>
      </c>
      <c r="O4" s="16" t="s">
        <v>120</v>
      </c>
    </row>
    <row r="5" customFormat="false" ht="18" hidden="false" customHeight="true" outlineLevel="0" collapsed="false">
      <c r="A5" s="19" t="n">
        <v>2</v>
      </c>
      <c r="B5" s="30" t="s">
        <v>121</v>
      </c>
      <c r="C5" s="20" t="s">
        <v>116</v>
      </c>
      <c r="D5" s="20" t="s">
        <v>117</v>
      </c>
      <c r="E5" s="21" t="s">
        <v>118</v>
      </c>
      <c r="F5" s="31" t="n">
        <v>28000000</v>
      </c>
      <c r="G5" s="21" t="n">
        <v>4</v>
      </c>
      <c r="H5" s="31" t="n">
        <v>7000000</v>
      </c>
      <c r="I5" s="31" t="n">
        <v>1750000</v>
      </c>
      <c r="J5" s="31" t="n">
        <v>26250000</v>
      </c>
      <c r="K5" s="20" t="s">
        <v>69</v>
      </c>
      <c r="L5" s="18" t="s">
        <v>27</v>
      </c>
      <c r="M5" s="20" t="s">
        <v>122</v>
      </c>
      <c r="N5" s="21" t="s">
        <v>78</v>
      </c>
      <c r="O5" s="20" t="s">
        <v>123</v>
      </c>
    </row>
    <row r="6" customFormat="false" ht="18" hidden="false" customHeight="true" outlineLevel="0" collapsed="false">
      <c r="A6" s="15" t="n">
        <v>3</v>
      </c>
      <c r="B6" s="28" t="s">
        <v>124</v>
      </c>
      <c r="C6" s="16" t="s">
        <v>125</v>
      </c>
      <c r="D6" s="16" t="s">
        <v>117</v>
      </c>
      <c r="E6" s="17" t="s">
        <v>126</v>
      </c>
      <c r="F6" s="29" t="n">
        <v>18500000</v>
      </c>
      <c r="G6" s="17" t="n">
        <v>4</v>
      </c>
      <c r="H6" s="29" t="n">
        <v>4625000</v>
      </c>
      <c r="I6" s="29" t="n">
        <v>924000</v>
      </c>
      <c r="J6" s="29" t="n">
        <v>17576000</v>
      </c>
      <c r="K6" s="16" t="s">
        <v>69</v>
      </c>
      <c r="L6" s="18" t="s">
        <v>27</v>
      </c>
      <c r="M6" s="16" t="s">
        <v>127</v>
      </c>
      <c r="N6" s="17" t="s">
        <v>78</v>
      </c>
      <c r="O6" s="16" t="s">
        <v>128</v>
      </c>
    </row>
    <row r="7" customFormat="false" ht="18" hidden="false" customHeight="true" outlineLevel="0" collapsed="false">
      <c r="A7" s="19" t="n">
        <v>4</v>
      </c>
      <c r="B7" s="30" t="s">
        <v>129</v>
      </c>
      <c r="C7" s="20" t="s">
        <v>125</v>
      </c>
      <c r="D7" s="20" t="s">
        <v>117</v>
      </c>
      <c r="E7" s="21" t="s">
        <v>126</v>
      </c>
      <c r="F7" s="31" t="n">
        <v>18500000</v>
      </c>
      <c r="G7" s="21" t="n">
        <v>4</v>
      </c>
      <c r="H7" s="31" t="n">
        <v>4625000</v>
      </c>
      <c r="I7" s="31" t="n">
        <v>924000</v>
      </c>
      <c r="J7" s="31" t="n">
        <v>17576000</v>
      </c>
      <c r="K7" s="20" t="s">
        <v>69</v>
      </c>
      <c r="L7" s="18" t="s">
        <v>27</v>
      </c>
      <c r="M7" s="20" t="s">
        <v>127</v>
      </c>
      <c r="N7" s="21" t="s">
        <v>78</v>
      </c>
      <c r="O7" s="20" t="s">
        <v>128</v>
      </c>
    </row>
    <row r="8" customFormat="false" ht="18" hidden="false" customHeight="true" outlineLevel="0" collapsed="false">
      <c r="A8" s="15" t="n">
        <v>5</v>
      </c>
      <c r="B8" s="28" t="s">
        <v>130</v>
      </c>
      <c r="C8" s="16" t="s">
        <v>131</v>
      </c>
      <c r="D8" s="16" t="s">
        <v>117</v>
      </c>
      <c r="E8" s="17" t="s">
        <v>132</v>
      </c>
      <c r="F8" s="29" t="n">
        <v>125000000</v>
      </c>
      <c r="G8" s="17" t="n">
        <v>5</v>
      </c>
      <c r="H8" s="29" t="n">
        <v>25000000</v>
      </c>
      <c r="I8" s="29" t="n">
        <v>7500000</v>
      </c>
      <c r="J8" s="29" t="n">
        <v>117500000</v>
      </c>
      <c r="K8" s="16" t="s">
        <v>80</v>
      </c>
      <c r="L8" s="18" t="s">
        <v>27</v>
      </c>
      <c r="M8" s="16" t="s">
        <v>84</v>
      </c>
      <c r="N8" s="17" t="s">
        <v>78</v>
      </c>
      <c r="O8" s="16" t="s">
        <v>133</v>
      </c>
    </row>
    <row r="9" customFormat="false" ht="18" hidden="false" customHeight="true" outlineLevel="0" collapsed="false">
      <c r="A9" s="19" t="n">
        <v>6</v>
      </c>
      <c r="B9" s="30" t="s">
        <v>134</v>
      </c>
      <c r="C9" s="20" t="s">
        <v>135</v>
      </c>
      <c r="D9" s="20" t="s">
        <v>117</v>
      </c>
      <c r="E9" s="21" t="s">
        <v>132</v>
      </c>
      <c r="F9" s="31" t="n">
        <v>45000000</v>
      </c>
      <c r="G9" s="21" t="n">
        <v>5</v>
      </c>
      <c r="H9" s="31" t="n">
        <v>9000000</v>
      </c>
      <c r="I9" s="31" t="n">
        <v>2700000</v>
      </c>
      <c r="J9" s="31" t="n">
        <v>42300000</v>
      </c>
      <c r="K9" s="20" t="s">
        <v>80</v>
      </c>
      <c r="L9" s="18" t="s">
        <v>27</v>
      </c>
      <c r="M9" s="20" t="s">
        <v>84</v>
      </c>
      <c r="N9" s="21" t="s">
        <v>78</v>
      </c>
      <c r="O9" s="20" t="s">
        <v>133</v>
      </c>
    </row>
    <row r="10" customFormat="false" ht="18" hidden="false" customHeight="true" outlineLevel="0" collapsed="false">
      <c r="A10" s="15" t="n">
        <v>7</v>
      </c>
      <c r="B10" s="28" t="s">
        <v>136</v>
      </c>
      <c r="C10" s="16" t="s">
        <v>137</v>
      </c>
      <c r="D10" s="16" t="s">
        <v>117</v>
      </c>
      <c r="E10" s="17" t="s">
        <v>118</v>
      </c>
      <c r="F10" s="29" t="n">
        <v>8500000</v>
      </c>
      <c r="G10" s="17" t="n">
        <v>4</v>
      </c>
      <c r="H10" s="29" t="n">
        <v>2125000</v>
      </c>
      <c r="I10" s="29" t="n">
        <v>531000</v>
      </c>
      <c r="J10" s="29" t="n">
        <v>7969000</v>
      </c>
      <c r="K10" s="16" t="s">
        <v>69</v>
      </c>
      <c r="L10" s="18" t="s">
        <v>27</v>
      </c>
      <c r="M10" s="16" t="s">
        <v>138</v>
      </c>
      <c r="N10" s="17" t="s">
        <v>78</v>
      </c>
      <c r="O10" s="16" t="s">
        <v>139</v>
      </c>
    </row>
    <row r="11" customFormat="false" ht="18" hidden="false" customHeight="true" outlineLevel="0" collapsed="false">
      <c r="A11" s="19" t="n">
        <v>8</v>
      </c>
      <c r="B11" s="30" t="s">
        <v>140</v>
      </c>
      <c r="C11" s="20" t="s">
        <v>141</v>
      </c>
      <c r="D11" s="20" t="s">
        <v>117</v>
      </c>
      <c r="E11" s="21" t="s">
        <v>118</v>
      </c>
      <c r="F11" s="31" t="n">
        <v>12000000</v>
      </c>
      <c r="G11" s="21" t="n">
        <v>4</v>
      </c>
      <c r="H11" s="31" t="n">
        <v>3000000</v>
      </c>
      <c r="I11" s="31" t="n">
        <v>750000</v>
      </c>
      <c r="J11" s="31" t="n">
        <v>11250000</v>
      </c>
      <c r="K11" s="20" t="s">
        <v>142</v>
      </c>
      <c r="L11" s="18" t="s">
        <v>27</v>
      </c>
      <c r="M11" s="20" t="s">
        <v>67</v>
      </c>
      <c r="N11" s="21" t="s">
        <v>78</v>
      </c>
      <c r="O11" s="20" t="s">
        <v>139</v>
      </c>
    </row>
    <row r="12" customFormat="false" ht="18" hidden="false" customHeight="true" outlineLevel="0" collapsed="false">
      <c r="A12" s="15" t="n">
        <v>9</v>
      </c>
      <c r="B12" s="28" t="s">
        <v>143</v>
      </c>
      <c r="C12" s="16" t="s">
        <v>144</v>
      </c>
      <c r="D12" s="16" t="s">
        <v>117</v>
      </c>
      <c r="E12" s="17" t="s">
        <v>118</v>
      </c>
      <c r="F12" s="29" t="n">
        <v>18000000</v>
      </c>
      <c r="G12" s="17" t="n">
        <v>5</v>
      </c>
      <c r="H12" s="29" t="n">
        <v>3600000</v>
      </c>
      <c r="I12" s="29" t="n">
        <v>900000</v>
      </c>
      <c r="J12" s="29" t="n">
        <v>17100000</v>
      </c>
      <c r="K12" s="16" t="s">
        <v>145</v>
      </c>
      <c r="L12" s="18" t="s">
        <v>27</v>
      </c>
      <c r="M12" s="16" t="s">
        <v>67</v>
      </c>
      <c r="N12" s="17" t="s">
        <v>78</v>
      </c>
      <c r="O12" s="16" t="s">
        <v>146</v>
      </c>
    </row>
    <row r="13" customFormat="false" ht="18" hidden="false" customHeight="true" outlineLevel="0" collapsed="false">
      <c r="A13" s="19" t="n">
        <v>10</v>
      </c>
      <c r="B13" s="30" t="s">
        <v>147</v>
      </c>
      <c r="C13" s="20" t="s">
        <v>148</v>
      </c>
      <c r="D13" s="20" t="s">
        <v>117</v>
      </c>
      <c r="E13" s="21" t="s">
        <v>132</v>
      </c>
      <c r="F13" s="31" t="n">
        <v>32000000</v>
      </c>
      <c r="G13" s="21" t="n">
        <v>5</v>
      </c>
      <c r="H13" s="31" t="n">
        <v>6400000</v>
      </c>
      <c r="I13" s="31" t="n">
        <v>1600000</v>
      </c>
      <c r="J13" s="31" t="n">
        <v>30400000</v>
      </c>
      <c r="K13" s="20" t="s">
        <v>149</v>
      </c>
      <c r="L13" s="18" t="s">
        <v>27</v>
      </c>
      <c r="M13" s="20" t="s">
        <v>95</v>
      </c>
      <c r="N13" s="21" t="s">
        <v>78</v>
      </c>
      <c r="O13" s="20" t="s">
        <v>150</v>
      </c>
    </row>
    <row r="14" customFormat="false" ht="18" hidden="false" customHeight="true" outlineLevel="0" collapsed="false">
      <c r="A14" s="15" t="n">
        <v>11</v>
      </c>
      <c r="B14" s="28" t="s">
        <v>151</v>
      </c>
      <c r="C14" s="16" t="s">
        <v>152</v>
      </c>
      <c r="D14" s="16" t="s">
        <v>153</v>
      </c>
      <c r="E14" s="17" t="s">
        <v>118</v>
      </c>
      <c r="F14" s="29" t="n">
        <v>85000000</v>
      </c>
      <c r="G14" s="17" t="n">
        <v>8</v>
      </c>
      <c r="H14" s="29" t="n">
        <v>10625000</v>
      </c>
      <c r="I14" s="29" t="n">
        <v>2656000</v>
      </c>
      <c r="J14" s="29" t="n">
        <v>82344000</v>
      </c>
      <c r="K14" s="16" t="s">
        <v>69</v>
      </c>
      <c r="L14" s="18" t="s">
        <v>27</v>
      </c>
      <c r="M14" s="16" t="s">
        <v>138</v>
      </c>
      <c r="N14" s="17" t="s">
        <v>65</v>
      </c>
      <c r="O14" s="16" t="s">
        <v>154</v>
      </c>
    </row>
    <row r="15" customFormat="false" ht="18" hidden="false" customHeight="true" outlineLevel="0" collapsed="false">
      <c r="A15" s="19" t="n">
        <v>12</v>
      </c>
      <c r="B15" s="30" t="s">
        <v>155</v>
      </c>
      <c r="C15" s="20" t="s">
        <v>156</v>
      </c>
      <c r="D15" s="20" t="s">
        <v>153</v>
      </c>
      <c r="E15" s="21" t="s">
        <v>118</v>
      </c>
      <c r="F15" s="31" t="n">
        <v>120000000</v>
      </c>
      <c r="G15" s="21" t="n">
        <v>8</v>
      </c>
      <c r="H15" s="31" t="n">
        <v>15000000</v>
      </c>
      <c r="I15" s="31" t="n">
        <v>3750000</v>
      </c>
      <c r="J15" s="31" t="n">
        <v>116250000</v>
      </c>
      <c r="K15" s="20" t="s">
        <v>69</v>
      </c>
      <c r="L15" s="18" t="s">
        <v>27</v>
      </c>
      <c r="M15" s="20" t="s">
        <v>138</v>
      </c>
      <c r="N15" s="21" t="s">
        <v>65</v>
      </c>
      <c r="O15" s="20" t="s">
        <v>154</v>
      </c>
    </row>
    <row r="16" customFormat="false" ht="18" hidden="false" customHeight="true" outlineLevel="0" collapsed="false">
      <c r="A16" s="15" t="n">
        <v>13</v>
      </c>
      <c r="B16" s="28" t="s">
        <v>157</v>
      </c>
      <c r="C16" s="16" t="s">
        <v>158</v>
      </c>
      <c r="D16" s="16" t="s">
        <v>153</v>
      </c>
      <c r="E16" s="17" t="s">
        <v>118</v>
      </c>
      <c r="F16" s="29" t="n">
        <v>32000000</v>
      </c>
      <c r="G16" s="17" t="n">
        <v>8</v>
      </c>
      <c r="H16" s="29" t="n">
        <v>4000000</v>
      </c>
      <c r="I16" s="29" t="n">
        <v>1000000</v>
      </c>
      <c r="J16" s="29" t="n">
        <v>31000000</v>
      </c>
      <c r="K16" s="16" t="s">
        <v>142</v>
      </c>
      <c r="L16" s="18" t="s">
        <v>27</v>
      </c>
      <c r="M16" s="16" t="s">
        <v>67</v>
      </c>
      <c r="N16" s="17" t="s">
        <v>65</v>
      </c>
      <c r="O16" s="16" t="s">
        <v>159</v>
      </c>
    </row>
    <row r="17" customFormat="false" ht="18" hidden="false" customHeight="true" outlineLevel="0" collapsed="false">
      <c r="A17" s="19" t="n">
        <v>14</v>
      </c>
      <c r="B17" s="30" t="s">
        <v>160</v>
      </c>
      <c r="C17" s="20" t="s">
        <v>161</v>
      </c>
      <c r="D17" s="20" t="s">
        <v>153</v>
      </c>
      <c r="E17" s="21" t="s">
        <v>118</v>
      </c>
      <c r="F17" s="31" t="n">
        <v>28000000</v>
      </c>
      <c r="G17" s="21" t="n">
        <v>8</v>
      </c>
      <c r="H17" s="31" t="n">
        <v>3500000</v>
      </c>
      <c r="I17" s="31" t="n">
        <v>875000</v>
      </c>
      <c r="J17" s="31" t="n">
        <v>27125000</v>
      </c>
      <c r="K17" s="20" t="s">
        <v>145</v>
      </c>
      <c r="L17" s="18" t="s">
        <v>27</v>
      </c>
      <c r="M17" s="20" t="s">
        <v>67</v>
      </c>
      <c r="N17" s="21" t="s">
        <v>65</v>
      </c>
      <c r="O17" s="20" t="s">
        <v>162</v>
      </c>
    </row>
    <row r="18" customFormat="false" ht="18" hidden="false" customHeight="true" outlineLevel="0" collapsed="false">
      <c r="A18" s="15" t="n">
        <v>15</v>
      </c>
      <c r="B18" s="28" t="s">
        <v>163</v>
      </c>
      <c r="C18" s="16" t="s">
        <v>164</v>
      </c>
      <c r="D18" s="16" t="s">
        <v>153</v>
      </c>
      <c r="E18" s="17" t="s">
        <v>118</v>
      </c>
      <c r="F18" s="29" t="n">
        <v>15000000</v>
      </c>
      <c r="G18" s="17" t="n">
        <v>10</v>
      </c>
      <c r="H18" s="29" t="n">
        <v>1500000</v>
      </c>
      <c r="I18" s="29" t="n">
        <v>375000</v>
      </c>
      <c r="J18" s="29" t="n">
        <v>14625000</v>
      </c>
      <c r="K18" s="16" t="s">
        <v>69</v>
      </c>
      <c r="L18" s="18" t="s">
        <v>27</v>
      </c>
      <c r="M18" s="16" t="s">
        <v>165</v>
      </c>
      <c r="N18" s="17" t="s">
        <v>65</v>
      </c>
      <c r="O18" s="16" t="s">
        <v>166</v>
      </c>
    </row>
    <row r="19" customFormat="false" ht="18" hidden="false" customHeight="true" outlineLevel="0" collapsed="false">
      <c r="A19" s="19" t="n">
        <v>16</v>
      </c>
      <c r="B19" s="30" t="s">
        <v>167</v>
      </c>
      <c r="C19" s="20" t="s">
        <v>168</v>
      </c>
      <c r="D19" s="20" t="s">
        <v>153</v>
      </c>
      <c r="E19" s="21" t="s">
        <v>126</v>
      </c>
      <c r="F19" s="31" t="n">
        <v>8500000</v>
      </c>
      <c r="G19" s="21" t="n">
        <v>8</v>
      </c>
      <c r="H19" s="31" t="n">
        <v>1062500</v>
      </c>
      <c r="I19" s="31" t="n">
        <v>221000</v>
      </c>
      <c r="J19" s="31" t="n">
        <v>8279000</v>
      </c>
      <c r="K19" s="20" t="s">
        <v>145</v>
      </c>
      <c r="L19" s="18" t="s">
        <v>27</v>
      </c>
      <c r="M19" s="20" t="s">
        <v>169</v>
      </c>
      <c r="N19" s="21" t="s">
        <v>65</v>
      </c>
      <c r="O19" s="20" t="s">
        <v>146</v>
      </c>
    </row>
    <row r="20" customFormat="false" ht="18" hidden="false" customHeight="true" outlineLevel="0" collapsed="false">
      <c r="A20" s="15" t="n">
        <v>17</v>
      </c>
      <c r="B20" s="28" t="s">
        <v>170</v>
      </c>
      <c r="C20" s="16" t="s">
        <v>171</v>
      </c>
      <c r="D20" s="16" t="s">
        <v>153</v>
      </c>
      <c r="E20" s="17" t="s">
        <v>118</v>
      </c>
      <c r="F20" s="29" t="n">
        <v>22000000</v>
      </c>
      <c r="G20" s="17" t="n">
        <v>8</v>
      </c>
      <c r="H20" s="29" t="n">
        <v>2750000</v>
      </c>
      <c r="I20" s="29" t="n">
        <v>688000</v>
      </c>
      <c r="J20" s="29" t="n">
        <v>21312000</v>
      </c>
      <c r="K20" s="16" t="s">
        <v>69</v>
      </c>
      <c r="L20" s="18" t="s">
        <v>27</v>
      </c>
      <c r="M20" s="16" t="s">
        <v>67</v>
      </c>
      <c r="N20" s="17" t="s">
        <v>65</v>
      </c>
      <c r="O20" s="16" t="s">
        <v>172</v>
      </c>
    </row>
    <row r="21" customFormat="false" ht="18" hidden="false" customHeight="true" outlineLevel="0" collapsed="false">
      <c r="A21" s="19" t="n">
        <v>18</v>
      </c>
      <c r="B21" s="30" t="s">
        <v>173</v>
      </c>
      <c r="C21" s="20" t="s">
        <v>174</v>
      </c>
      <c r="D21" s="20" t="s">
        <v>153</v>
      </c>
      <c r="E21" s="21" t="s">
        <v>118</v>
      </c>
      <c r="F21" s="31" t="n">
        <v>35000000</v>
      </c>
      <c r="G21" s="21" t="n">
        <v>8</v>
      </c>
      <c r="H21" s="31" t="n">
        <v>4375000</v>
      </c>
      <c r="I21" s="31" t="n">
        <v>1094000</v>
      </c>
      <c r="J21" s="31" t="n">
        <v>33906000</v>
      </c>
      <c r="K21" s="20" t="s">
        <v>80</v>
      </c>
      <c r="L21" s="22" t="s">
        <v>48</v>
      </c>
      <c r="M21" s="20" t="s">
        <v>67</v>
      </c>
      <c r="N21" s="21" t="s">
        <v>89</v>
      </c>
      <c r="O21" s="20" t="s">
        <v>175</v>
      </c>
    </row>
    <row r="22" customFormat="false" ht="18" hidden="false" customHeight="true" outlineLevel="0" collapsed="false">
      <c r="A22" s="15" t="n">
        <v>19</v>
      </c>
      <c r="B22" s="28" t="s">
        <v>176</v>
      </c>
      <c r="C22" s="16" t="s">
        <v>177</v>
      </c>
      <c r="D22" s="16" t="s">
        <v>178</v>
      </c>
      <c r="E22" s="17" t="s">
        <v>118</v>
      </c>
      <c r="F22" s="29" t="n">
        <v>280000000</v>
      </c>
      <c r="G22" s="17" t="n">
        <v>10</v>
      </c>
      <c r="H22" s="29" t="n">
        <v>28000000</v>
      </c>
      <c r="I22" s="29" t="n">
        <v>7000000</v>
      </c>
      <c r="J22" s="29" t="n">
        <v>273000000</v>
      </c>
      <c r="K22" s="16" t="s">
        <v>149</v>
      </c>
      <c r="L22" s="18" t="s">
        <v>27</v>
      </c>
      <c r="M22" s="16" t="s">
        <v>100</v>
      </c>
      <c r="N22" s="17" t="s">
        <v>78</v>
      </c>
      <c r="O22" s="16" t="s">
        <v>179</v>
      </c>
    </row>
    <row r="23" customFormat="false" ht="18" hidden="false" customHeight="true" outlineLevel="0" collapsed="false">
      <c r="A23" s="19" t="n">
        <v>20</v>
      </c>
      <c r="B23" s="30" t="s">
        <v>180</v>
      </c>
      <c r="C23" s="20" t="s">
        <v>181</v>
      </c>
      <c r="D23" s="20" t="s">
        <v>178</v>
      </c>
      <c r="E23" s="21" t="s">
        <v>118</v>
      </c>
      <c r="F23" s="31" t="n">
        <v>185000000</v>
      </c>
      <c r="G23" s="21" t="n">
        <v>10</v>
      </c>
      <c r="H23" s="31" t="n">
        <v>18500000</v>
      </c>
      <c r="I23" s="31" t="n">
        <v>4625000</v>
      </c>
      <c r="J23" s="31" t="n">
        <v>180375000</v>
      </c>
      <c r="K23" s="20" t="s">
        <v>91</v>
      </c>
      <c r="L23" s="18" t="s">
        <v>27</v>
      </c>
      <c r="M23" s="20" t="s">
        <v>100</v>
      </c>
      <c r="N23" s="21" t="s">
        <v>78</v>
      </c>
      <c r="O23" s="20" t="s">
        <v>182</v>
      </c>
    </row>
    <row r="24" customFormat="false" ht="18" hidden="false" customHeight="true" outlineLevel="0" collapsed="false">
      <c r="A24" s="15" t="n">
        <v>21</v>
      </c>
      <c r="B24" s="28" t="s">
        <v>183</v>
      </c>
      <c r="C24" s="16" t="s">
        <v>184</v>
      </c>
      <c r="D24" s="16" t="s">
        <v>178</v>
      </c>
      <c r="E24" s="17" t="s">
        <v>126</v>
      </c>
      <c r="F24" s="29" t="n">
        <v>95000000</v>
      </c>
      <c r="G24" s="17" t="n">
        <v>20</v>
      </c>
      <c r="H24" s="29" t="n">
        <v>4750000</v>
      </c>
      <c r="I24" s="29" t="n">
        <v>712000</v>
      </c>
      <c r="J24" s="29" t="n">
        <v>94288000</v>
      </c>
      <c r="K24" s="16" t="s">
        <v>96</v>
      </c>
      <c r="L24" s="18" t="s">
        <v>27</v>
      </c>
      <c r="M24" s="16" t="s">
        <v>100</v>
      </c>
      <c r="N24" s="17" t="s">
        <v>78</v>
      </c>
      <c r="O24" s="16" t="s">
        <v>185</v>
      </c>
    </row>
    <row r="25" customFormat="false" ht="18" hidden="false" customHeight="true" outlineLevel="0" collapsed="false">
      <c r="A25" s="19" t="n">
        <v>22</v>
      </c>
      <c r="B25" s="30" t="s">
        <v>186</v>
      </c>
      <c r="C25" s="20" t="s">
        <v>187</v>
      </c>
      <c r="D25" s="20" t="s">
        <v>178</v>
      </c>
      <c r="E25" s="21" t="s">
        <v>118</v>
      </c>
      <c r="F25" s="31" t="n">
        <v>350000000</v>
      </c>
      <c r="G25" s="21" t="n">
        <v>15</v>
      </c>
      <c r="H25" s="31" t="n">
        <v>23333000</v>
      </c>
      <c r="I25" s="31" t="n">
        <v>5833000</v>
      </c>
      <c r="J25" s="31" t="n">
        <v>344167000</v>
      </c>
      <c r="K25" s="20" t="s">
        <v>149</v>
      </c>
      <c r="L25" s="18" t="s">
        <v>27</v>
      </c>
      <c r="M25" s="20" t="s">
        <v>100</v>
      </c>
      <c r="N25" s="21" t="s">
        <v>78</v>
      </c>
      <c r="O25" s="20" t="s">
        <v>188</v>
      </c>
    </row>
    <row r="26" customFormat="false" ht="18" hidden="false" customHeight="true" outlineLevel="0" collapsed="false">
      <c r="A26" s="15" t="n">
        <v>23</v>
      </c>
      <c r="B26" s="28" t="s">
        <v>189</v>
      </c>
      <c r="C26" s="16" t="s">
        <v>190</v>
      </c>
      <c r="D26" s="16" t="s">
        <v>178</v>
      </c>
      <c r="E26" s="17" t="s">
        <v>118</v>
      </c>
      <c r="F26" s="29" t="n">
        <v>125000000</v>
      </c>
      <c r="G26" s="17" t="n">
        <v>15</v>
      </c>
      <c r="H26" s="29" t="n">
        <v>8333000</v>
      </c>
      <c r="I26" s="29" t="n">
        <v>2083000</v>
      </c>
      <c r="J26" s="29" t="n">
        <v>122917000</v>
      </c>
      <c r="K26" s="16" t="s">
        <v>149</v>
      </c>
      <c r="L26" s="18" t="s">
        <v>27</v>
      </c>
      <c r="M26" s="16" t="s">
        <v>67</v>
      </c>
      <c r="N26" s="17" t="s">
        <v>78</v>
      </c>
      <c r="O26" s="16" t="s">
        <v>191</v>
      </c>
    </row>
    <row r="27" customFormat="false" ht="18" hidden="false" customHeight="true" outlineLevel="0" collapsed="false">
      <c r="A27" s="19" t="n">
        <v>24</v>
      </c>
      <c r="B27" s="30" t="s">
        <v>192</v>
      </c>
      <c r="C27" s="20" t="s">
        <v>193</v>
      </c>
      <c r="D27" s="20" t="s">
        <v>178</v>
      </c>
      <c r="E27" s="21" t="s">
        <v>118</v>
      </c>
      <c r="F27" s="31" t="n">
        <v>18000000</v>
      </c>
      <c r="G27" s="21" t="n">
        <v>7</v>
      </c>
      <c r="H27" s="31" t="n">
        <v>2571000</v>
      </c>
      <c r="I27" s="31" t="n">
        <v>643000</v>
      </c>
      <c r="J27" s="31" t="n">
        <v>17357000</v>
      </c>
      <c r="K27" s="20" t="s">
        <v>69</v>
      </c>
      <c r="L27" s="18" t="s">
        <v>27</v>
      </c>
      <c r="M27" s="20" t="s">
        <v>84</v>
      </c>
      <c r="N27" s="21" t="s">
        <v>65</v>
      </c>
      <c r="O27" s="20" t="s">
        <v>194</v>
      </c>
    </row>
    <row r="28" customFormat="false" ht="18" hidden="false" customHeight="true" outlineLevel="0" collapsed="false">
      <c r="A28" s="15" t="n">
        <v>25</v>
      </c>
      <c r="B28" s="28" t="s">
        <v>195</v>
      </c>
      <c r="C28" s="16" t="s">
        <v>196</v>
      </c>
      <c r="D28" s="16" t="s">
        <v>197</v>
      </c>
      <c r="E28" s="17" t="s">
        <v>118</v>
      </c>
      <c r="F28" s="29" t="n">
        <v>280000000</v>
      </c>
      <c r="G28" s="17" t="n">
        <v>5</v>
      </c>
      <c r="H28" s="29" t="n">
        <v>56000000</v>
      </c>
      <c r="I28" s="29" t="n">
        <v>14000000</v>
      </c>
      <c r="J28" s="29" t="n">
        <v>266000000</v>
      </c>
      <c r="K28" s="16" t="s">
        <v>91</v>
      </c>
      <c r="L28" s="18" t="s">
        <v>27</v>
      </c>
      <c r="M28" s="16" t="s">
        <v>198</v>
      </c>
      <c r="N28" s="17" t="s">
        <v>78</v>
      </c>
      <c r="O28" s="16" t="s">
        <v>68</v>
      </c>
    </row>
    <row r="29" customFormat="false" ht="18" hidden="false" customHeight="true" outlineLevel="0" collapsed="false">
      <c r="A29" s="19" t="n">
        <v>26</v>
      </c>
      <c r="B29" s="30" t="s">
        <v>199</v>
      </c>
      <c r="C29" s="20" t="s">
        <v>200</v>
      </c>
      <c r="D29" s="20" t="s">
        <v>197</v>
      </c>
      <c r="E29" s="21" t="s">
        <v>118</v>
      </c>
      <c r="F29" s="31" t="n">
        <v>50000000</v>
      </c>
      <c r="G29" s="21" t="n">
        <v>5</v>
      </c>
      <c r="H29" s="31" t="n">
        <v>10000000</v>
      </c>
      <c r="I29" s="31" t="n">
        <v>2500000</v>
      </c>
      <c r="J29" s="31" t="n">
        <v>47500000</v>
      </c>
      <c r="K29" s="20" t="s">
        <v>91</v>
      </c>
      <c r="L29" s="18" t="s">
        <v>27</v>
      </c>
      <c r="M29" s="20" t="s">
        <v>201</v>
      </c>
      <c r="N29" s="21" t="s">
        <v>78</v>
      </c>
      <c r="O29" s="20" t="s">
        <v>68</v>
      </c>
    </row>
    <row r="30" customFormat="false" ht="18" hidden="false" customHeight="true" outlineLevel="0" collapsed="false">
      <c r="A30" s="15" t="n">
        <v>27</v>
      </c>
      <c r="B30" s="28" t="s">
        <v>202</v>
      </c>
      <c r="C30" s="16" t="s">
        <v>203</v>
      </c>
      <c r="D30" s="16" t="s">
        <v>197</v>
      </c>
      <c r="E30" s="17" t="s">
        <v>132</v>
      </c>
      <c r="F30" s="29" t="n">
        <v>20000000</v>
      </c>
      <c r="G30" s="17" t="n">
        <v>5</v>
      </c>
      <c r="H30" s="29" t="n">
        <v>4000000</v>
      </c>
      <c r="I30" s="29" t="n">
        <v>600000</v>
      </c>
      <c r="J30" s="29" t="n">
        <v>19400000</v>
      </c>
      <c r="K30" s="16" t="s">
        <v>91</v>
      </c>
      <c r="L30" s="18" t="s">
        <v>27</v>
      </c>
      <c r="M30" s="16" t="s">
        <v>204</v>
      </c>
      <c r="N30" s="17" t="s">
        <v>65</v>
      </c>
      <c r="O30" s="16" t="s">
        <v>205</v>
      </c>
    </row>
    <row r="31" customFormat="false" ht="18" hidden="false" customHeight="true" outlineLevel="0" collapsed="false">
      <c r="A31" s="19" t="n">
        <v>28</v>
      </c>
      <c r="B31" s="30" t="s">
        <v>206</v>
      </c>
      <c r="C31" s="20" t="s">
        <v>207</v>
      </c>
      <c r="D31" s="20" t="s">
        <v>191</v>
      </c>
      <c r="E31" s="21" t="s">
        <v>118</v>
      </c>
      <c r="F31" s="31" t="n">
        <v>15000000</v>
      </c>
      <c r="G31" s="21" t="n">
        <v>5</v>
      </c>
      <c r="H31" s="31" t="n">
        <v>3000000</v>
      </c>
      <c r="I31" s="31" t="n">
        <v>750000</v>
      </c>
      <c r="J31" s="31" t="n">
        <v>14250000</v>
      </c>
      <c r="K31" s="20" t="s">
        <v>149</v>
      </c>
      <c r="L31" s="18" t="s">
        <v>27</v>
      </c>
      <c r="M31" s="20" t="s">
        <v>67</v>
      </c>
      <c r="N31" s="21" t="s">
        <v>78</v>
      </c>
      <c r="O31" s="20" t="s">
        <v>208</v>
      </c>
    </row>
    <row r="32" customFormat="false" ht="18" hidden="false" customHeight="true" outlineLevel="0" collapsed="false">
      <c r="A32" s="15" t="n">
        <v>29</v>
      </c>
      <c r="B32" s="28" t="s">
        <v>209</v>
      </c>
      <c r="C32" s="16" t="s">
        <v>210</v>
      </c>
      <c r="D32" s="16" t="s">
        <v>191</v>
      </c>
      <c r="E32" s="17" t="s">
        <v>126</v>
      </c>
      <c r="F32" s="29" t="n">
        <v>25000000</v>
      </c>
      <c r="G32" s="17" t="n">
        <v>7</v>
      </c>
      <c r="H32" s="29" t="n">
        <v>3571000</v>
      </c>
      <c r="I32" s="29" t="n">
        <v>595000</v>
      </c>
      <c r="J32" s="29" t="n">
        <v>24405000</v>
      </c>
      <c r="K32" s="16" t="s">
        <v>69</v>
      </c>
      <c r="L32" s="18" t="s">
        <v>27</v>
      </c>
      <c r="M32" s="16" t="s">
        <v>67</v>
      </c>
      <c r="N32" s="17" t="s">
        <v>78</v>
      </c>
      <c r="O32" s="16" t="s">
        <v>211</v>
      </c>
    </row>
    <row r="33" customFormat="false" ht="18" hidden="false" customHeight="true" outlineLevel="0" collapsed="false">
      <c r="A33" s="19" t="n">
        <v>30</v>
      </c>
      <c r="B33" s="30" t="s">
        <v>212</v>
      </c>
      <c r="C33" s="20" t="s">
        <v>213</v>
      </c>
      <c r="D33" s="20" t="s">
        <v>191</v>
      </c>
      <c r="E33" s="21" t="s">
        <v>118</v>
      </c>
      <c r="F33" s="31" t="n">
        <v>35000000</v>
      </c>
      <c r="G33" s="21" t="n">
        <v>5</v>
      </c>
      <c r="H33" s="31" t="n">
        <v>7000000</v>
      </c>
      <c r="I33" s="31" t="n">
        <v>1750000</v>
      </c>
      <c r="J33" s="31" t="n">
        <v>33250000</v>
      </c>
      <c r="K33" s="20" t="s">
        <v>214</v>
      </c>
      <c r="L33" s="18" t="s">
        <v>27</v>
      </c>
      <c r="M33" s="20" t="s">
        <v>84</v>
      </c>
      <c r="N33" s="21" t="s">
        <v>78</v>
      </c>
      <c r="O33" s="20" t="s">
        <v>150</v>
      </c>
    </row>
    <row r="34" customFormat="false" ht="21.75" hidden="false" customHeight="true" outlineLevel="0" collapsed="false">
      <c r="A34" s="32"/>
      <c r="B34" s="32"/>
      <c r="C34" s="33" t="s">
        <v>3</v>
      </c>
      <c r="D34" s="32"/>
      <c r="E34" s="32"/>
      <c r="F34" s="34" t="n">
        <f aca="false">SUM(F4:F33)</f>
        <v>2157000000</v>
      </c>
      <c r="G34" s="32"/>
      <c r="H34" s="34" t="n">
        <f aca="false">SUM(H4:H33)</f>
        <v>284245500</v>
      </c>
      <c r="I34" s="34" t="n">
        <f aca="false">SUM(I4:I33)</f>
        <v>71079000</v>
      </c>
      <c r="J34" s="34" t="n">
        <f aca="false">SUM(J4:J33)</f>
        <v>2085921000</v>
      </c>
      <c r="K34" s="32"/>
      <c r="L34" s="32"/>
      <c r="M34" s="32"/>
      <c r="N34" s="32"/>
      <c r="O34" s="32"/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19" min="7" style="0" width="6"/>
  </cols>
  <sheetData>
    <row r="1" customFormat="false" ht="31.5" hidden="false" customHeight="true" outlineLevel="0" collapsed="false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216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>
      <c r="A3" s="27" t="s">
        <v>16</v>
      </c>
      <c r="B3" s="27" t="s">
        <v>104</v>
      </c>
      <c r="C3" s="27" t="s">
        <v>217</v>
      </c>
      <c r="D3" s="27" t="s">
        <v>218</v>
      </c>
      <c r="E3" s="27" t="s">
        <v>219</v>
      </c>
      <c r="F3" s="27" t="s">
        <v>220</v>
      </c>
      <c r="G3" s="27" t="s">
        <v>221</v>
      </c>
      <c r="H3" s="27" t="s">
        <v>222</v>
      </c>
      <c r="I3" s="27" t="s">
        <v>223</v>
      </c>
      <c r="J3" s="27" t="s">
        <v>224</v>
      </c>
      <c r="K3" s="27" t="s">
        <v>225</v>
      </c>
      <c r="L3" s="27" t="s">
        <v>226</v>
      </c>
      <c r="M3" s="27" t="s">
        <v>227</v>
      </c>
      <c r="N3" s="27" t="s">
        <v>228</v>
      </c>
      <c r="O3" s="27" t="s">
        <v>229</v>
      </c>
      <c r="P3" s="27" t="s">
        <v>230</v>
      </c>
      <c r="Q3" s="27" t="s">
        <v>231</v>
      </c>
      <c r="R3" s="27" t="s">
        <v>232</v>
      </c>
      <c r="S3" s="27" t="s">
        <v>233</v>
      </c>
    </row>
    <row r="4" customFormat="false" ht="18" hidden="false" customHeight="true" outlineLevel="0" collapsed="false">
      <c r="A4" s="17" t="n">
        <v>1</v>
      </c>
      <c r="B4" s="16" t="s">
        <v>176</v>
      </c>
      <c r="C4" s="16" t="s">
        <v>234</v>
      </c>
      <c r="D4" s="16" t="s">
        <v>179</v>
      </c>
      <c r="E4" s="16" t="s">
        <v>235</v>
      </c>
      <c r="F4" s="16" t="s">
        <v>236</v>
      </c>
      <c r="G4" s="35" t="s">
        <v>237</v>
      </c>
      <c r="H4" s="35" t="s">
        <v>237</v>
      </c>
      <c r="I4" s="35" t="s">
        <v>237</v>
      </c>
      <c r="J4" s="35" t="s">
        <v>237</v>
      </c>
      <c r="K4" s="35" t="s">
        <v>237</v>
      </c>
      <c r="L4" s="35" t="s">
        <v>237</v>
      </c>
      <c r="M4" s="35" t="s">
        <v>237</v>
      </c>
      <c r="N4" s="35" t="s">
        <v>237</v>
      </c>
      <c r="O4" s="35" t="s">
        <v>237</v>
      </c>
      <c r="P4" s="35" t="s">
        <v>237</v>
      </c>
      <c r="Q4" s="35" t="s">
        <v>237</v>
      </c>
      <c r="R4" s="35" t="s">
        <v>237</v>
      </c>
      <c r="S4" s="35" t="s">
        <v>238</v>
      </c>
    </row>
    <row r="5" customFormat="false" ht="18" hidden="false" customHeight="true" outlineLevel="0" collapsed="false">
      <c r="A5" s="21" t="n">
        <v>2</v>
      </c>
      <c r="B5" s="20" t="s">
        <v>180</v>
      </c>
      <c r="C5" s="20" t="s">
        <v>239</v>
      </c>
      <c r="D5" s="20" t="s">
        <v>240</v>
      </c>
      <c r="E5" s="20" t="s">
        <v>235</v>
      </c>
      <c r="F5" s="20" t="s">
        <v>241</v>
      </c>
      <c r="G5" s="35" t="s">
        <v>237</v>
      </c>
      <c r="H5" s="35" t="s">
        <v>237</v>
      </c>
      <c r="I5" s="35" t="s">
        <v>237</v>
      </c>
      <c r="J5" s="35" t="s">
        <v>237</v>
      </c>
      <c r="K5" s="35" t="s">
        <v>237</v>
      </c>
      <c r="L5" s="35" t="s">
        <v>237</v>
      </c>
      <c r="M5" s="35" t="s">
        <v>237</v>
      </c>
      <c r="N5" s="35" t="s">
        <v>237</v>
      </c>
      <c r="O5" s="35" t="s">
        <v>237</v>
      </c>
      <c r="P5" s="35" t="s">
        <v>237</v>
      </c>
      <c r="Q5" s="35" t="s">
        <v>237</v>
      </c>
      <c r="R5" s="35" t="s">
        <v>237</v>
      </c>
      <c r="S5" s="35" t="s">
        <v>238</v>
      </c>
    </row>
    <row r="6" customFormat="false" ht="18" hidden="false" customHeight="true" outlineLevel="0" collapsed="false">
      <c r="A6" s="17" t="n">
        <v>3</v>
      </c>
      <c r="B6" s="16" t="s">
        <v>186</v>
      </c>
      <c r="C6" s="16" t="s">
        <v>242</v>
      </c>
      <c r="D6" s="16" t="s">
        <v>243</v>
      </c>
      <c r="E6" s="16" t="s">
        <v>235</v>
      </c>
      <c r="F6" s="16" t="s">
        <v>244</v>
      </c>
      <c r="G6" s="35" t="s">
        <v>237</v>
      </c>
      <c r="H6" s="35" t="s">
        <v>237</v>
      </c>
      <c r="I6" s="35" t="s">
        <v>237</v>
      </c>
      <c r="J6" s="35" t="s">
        <v>237</v>
      </c>
      <c r="K6" s="35" t="s">
        <v>237</v>
      </c>
      <c r="L6" s="35" t="s">
        <v>237</v>
      </c>
      <c r="M6" s="35" t="s">
        <v>237</v>
      </c>
      <c r="N6" s="35" t="s">
        <v>237</v>
      </c>
      <c r="O6" s="35" t="s">
        <v>237</v>
      </c>
      <c r="P6" s="35" t="s">
        <v>237</v>
      </c>
      <c r="Q6" s="35" t="s">
        <v>237</v>
      </c>
      <c r="R6" s="35" t="s">
        <v>237</v>
      </c>
      <c r="S6" s="35" t="s">
        <v>238</v>
      </c>
    </row>
    <row r="7" customFormat="false" ht="18" hidden="false" customHeight="true" outlineLevel="0" collapsed="false">
      <c r="A7" s="21" t="n">
        <v>4</v>
      </c>
      <c r="B7" s="20" t="s">
        <v>189</v>
      </c>
      <c r="C7" s="20" t="s">
        <v>245</v>
      </c>
      <c r="D7" s="20" t="s">
        <v>246</v>
      </c>
      <c r="E7" s="20" t="s">
        <v>247</v>
      </c>
      <c r="F7" s="20" t="s">
        <v>67</v>
      </c>
      <c r="G7" s="35" t="s">
        <v>237</v>
      </c>
      <c r="H7" s="36" t="s">
        <v>248</v>
      </c>
      <c r="I7" s="36" t="s">
        <v>248</v>
      </c>
      <c r="J7" s="35" t="s">
        <v>237</v>
      </c>
      <c r="K7" s="36" t="s">
        <v>248</v>
      </c>
      <c r="L7" s="36" t="s">
        <v>248</v>
      </c>
      <c r="M7" s="35" t="s">
        <v>237</v>
      </c>
      <c r="N7" s="36" t="s">
        <v>248</v>
      </c>
      <c r="O7" s="36" t="s">
        <v>248</v>
      </c>
      <c r="P7" s="35" t="s">
        <v>237</v>
      </c>
      <c r="Q7" s="36" t="s">
        <v>248</v>
      </c>
      <c r="R7" s="36" t="s">
        <v>248</v>
      </c>
      <c r="S7" s="35" t="s">
        <v>238</v>
      </c>
    </row>
    <row r="8" customFormat="false" ht="18" hidden="false" customHeight="true" outlineLevel="0" collapsed="false">
      <c r="A8" s="17" t="n">
        <v>5</v>
      </c>
      <c r="B8" s="16" t="s">
        <v>206</v>
      </c>
      <c r="C8" s="16" t="s">
        <v>249</v>
      </c>
      <c r="D8" s="16" t="s">
        <v>250</v>
      </c>
      <c r="E8" s="16" t="s">
        <v>251</v>
      </c>
      <c r="F8" s="16" t="s">
        <v>67</v>
      </c>
      <c r="G8" s="35" t="s">
        <v>237</v>
      </c>
      <c r="H8" s="36" t="s">
        <v>248</v>
      </c>
      <c r="I8" s="36" t="s">
        <v>248</v>
      </c>
      <c r="J8" s="36" t="s">
        <v>248</v>
      </c>
      <c r="K8" s="36" t="s">
        <v>248</v>
      </c>
      <c r="L8" s="35" t="s">
        <v>237</v>
      </c>
      <c r="M8" s="36" t="s">
        <v>248</v>
      </c>
      <c r="N8" s="36" t="s">
        <v>248</v>
      </c>
      <c r="O8" s="36" t="s">
        <v>248</v>
      </c>
      <c r="P8" s="36" t="s">
        <v>248</v>
      </c>
      <c r="Q8" s="36" t="s">
        <v>248</v>
      </c>
      <c r="R8" s="35" t="s">
        <v>237</v>
      </c>
      <c r="S8" s="35" t="s">
        <v>238</v>
      </c>
    </row>
    <row r="9" customFormat="false" ht="18" hidden="false" customHeight="true" outlineLevel="0" collapsed="false">
      <c r="A9" s="21" t="n">
        <v>6</v>
      </c>
      <c r="B9" s="20" t="s">
        <v>209</v>
      </c>
      <c r="C9" s="20" t="s">
        <v>252</v>
      </c>
      <c r="D9" s="20" t="s">
        <v>253</v>
      </c>
      <c r="E9" s="20" t="s">
        <v>254</v>
      </c>
      <c r="F9" s="20" t="s">
        <v>255</v>
      </c>
      <c r="G9" s="36" t="s">
        <v>248</v>
      </c>
      <c r="H9" s="36" t="s">
        <v>248</v>
      </c>
      <c r="I9" s="36" t="s">
        <v>248</v>
      </c>
      <c r="J9" s="36" t="s">
        <v>248</v>
      </c>
      <c r="K9" s="36" t="s">
        <v>248</v>
      </c>
      <c r="L9" s="36" t="s">
        <v>248</v>
      </c>
      <c r="M9" s="36" t="s">
        <v>248</v>
      </c>
      <c r="N9" s="36" t="s">
        <v>248</v>
      </c>
      <c r="O9" s="36" t="s">
        <v>248</v>
      </c>
      <c r="P9" s="36" t="s">
        <v>248</v>
      </c>
      <c r="Q9" s="36" t="s">
        <v>248</v>
      </c>
      <c r="R9" s="35" t="s">
        <v>237</v>
      </c>
      <c r="S9" s="37" t="s">
        <v>256</v>
      </c>
    </row>
    <row r="10" customFormat="false" ht="18" hidden="false" customHeight="true" outlineLevel="0" collapsed="false">
      <c r="A10" s="17" t="n">
        <v>7</v>
      </c>
      <c r="B10" s="16" t="s">
        <v>130</v>
      </c>
      <c r="C10" s="16" t="s">
        <v>257</v>
      </c>
      <c r="D10" s="16" t="s">
        <v>258</v>
      </c>
      <c r="E10" s="16" t="s">
        <v>235</v>
      </c>
      <c r="F10" s="16" t="s">
        <v>84</v>
      </c>
      <c r="G10" s="35" t="s">
        <v>237</v>
      </c>
      <c r="H10" s="35" t="s">
        <v>237</v>
      </c>
      <c r="I10" s="35" t="s">
        <v>237</v>
      </c>
      <c r="J10" s="35" t="s">
        <v>237</v>
      </c>
      <c r="K10" s="35" t="s">
        <v>237</v>
      </c>
      <c r="L10" s="35" t="s">
        <v>237</v>
      </c>
      <c r="M10" s="35" t="s">
        <v>237</v>
      </c>
      <c r="N10" s="35" t="s">
        <v>237</v>
      </c>
      <c r="O10" s="35" t="s">
        <v>237</v>
      </c>
      <c r="P10" s="35" t="s">
        <v>237</v>
      </c>
      <c r="Q10" s="35" t="s">
        <v>237</v>
      </c>
      <c r="R10" s="35" t="s">
        <v>237</v>
      </c>
      <c r="S10" s="35" t="s">
        <v>238</v>
      </c>
    </row>
    <row r="11" customFormat="false" ht="18" hidden="false" customHeight="true" outlineLevel="0" collapsed="false">
      <c r="A11" s="21" t="n">
        <v>8</v>
      </c>
      <c r="B11" s="20" t="s">
        <v>147</v>
      </c>
      <c r="C11" s="20" t="s">
        <v>259</v>
      </c>
      <c r="D11" s="20" t="s">
        <v>260</v>
      </c>
      <c r="E11" s="20" t="s">
        <v>247</v>
      </c>
      <c r="F11" s="20" t="s">
        <v>84</v>
      </c>
      <c r="G11" s="35" t="s">
        <v>237</v>
      </c>
      <c r="H11" s="36" t="s">
        <v>248</v>
      </c>
      <c r="I11" s="36" t="s">
        <v>248</v>
      </c>
      <c r="J11" s="35" t="s">
        <v>237</v>
      </c>
      <c r="K11" s="36" t="s">
        <v>248</v>
      </c>
      <c r="L11" s="36" t="s">
        <v>248</v>
      </c>
      <c r="M11" s="35" t="s">
        <v>237</v>
      </c>
      <c r="N11" s="36" t="s">
        <v>248</v>
      </c>
      <c r="O11" s="36" t="s">
        <v>248</v>
      </c>
      <c r="P11" s="35" t="s">
        <v>237</v>
      </c>
      <c r="Q11" s="36" t="s">
        <v>248</v>
      </c>
      <c r="R11" s="36" t="s">
        <v>248</v>
      </c>
      <c r="S11" s="35" t="s">
        <v>238</v>
      </c>
    </row>
    <row r="12" customFormat="false" ht="18" hidden="false" customHeight="true" outlineLevel="0" collapsed="false">
      <c r="A12" s="17" t="n">
        <v>9</v>
      </c>
      <c r="B12" s="16" t="s">
        <v>183</v>
      </c>
      <c r="C12" s="16" t="s">
        <v>261</v>
      </c>
      <c r="D12" s="16" t="s">
        <v>262</v>
      </c>
      <c r="E12" s="16" t="s">
        <v>247</v>
      </c>
      <c r="F12" s="16" t="s">
        <v>263</v>
      </c>
      <c r="G12" s="35" t="s">
        <v>237</v>
      </c>
      <c r="H12" s="36" t="s">
        <v>248</v>
      </c>
      <c r="I12" s="36" t="s">
        <v>248</v>
      </c>
      <c r="J12" s="35" t="s">
        <v>237</v>
      </c>
      <c r="K12" s="36" t="s">
        <v>248</v>
      </c>
      <c r="L12" s="36" t="s">
        <v>248</v>
      </c>
      <c r="M12" s="35" t="s">
        <v>237</v>
      </c>
      <c r="N12" s="36" t="s">
        <v>248</v>
      </c>
      <c r="O12" s="36" t="s">
        <v>248</v>
      </c>
      <c r="P12" s="35" t="s">
        <v>237</v>
      </c>
      <c r="Q12" s="36" t="s">
        <v>248</v>
      </c>
      <c r="R12" s="36" t="s">
        <v>248</v>
      </c>
      <c r="S12" s="35" t="s">
        <v>238</v>
      </c>
    </row>
    <row r="13" customFormat="false" ht="18" hidden="false" customHeight="true" outlineLevel="0" collapsed="false">
      <c r="A13" s="21" t="n">
        <v>10</v>
      </c>
      <c r="B13" s="20" t="s">
        <v>195</v>
      </c>
      <c r="C13" s="20" t="s">
        <v>264</v>
      </c>
      <c r="D13" s="20" t="s">
        <v>265</v>
      </c>
      <c r="E13" s="20" t="s">
        <v>266</v>
      </c>
      <c r="F13" s="20" t="s">
        <v>267</v>
      </c>
      <c r="G13" s="35" t="s">
        <v>237</v>
      </c>
      <c r="H13" s="36" t="s">
        <v>248</v>
      </c>
      <c r="I13" s="36" t="s">
        <v>248</v>
      </c>
      <c r="J13" s="35" t="s">
        <v>237</v>
      </c>
      <c r="K13" s="36" t="s">
        <v>248</v>
      </c>
      <c r="L13" s="36" t="s">
        <v>248</v>
      </c>
      <c r="M13" s="35" t="s">
        <v>237</v>
      </c>
      <c r="N13" s="36" t="s">
        <v>248</v>
      </c>
      <c r="O13" s="36" t="s">
        <v>248</v>
      </c>
      <c r="P13" s="35" t="s">
        <v>237</v>
      </c>
      <c r="Q13" s="36" t="s">
        <v>248</v>
      </c>
      <c r="R13" s="36" t="s">
        <v>248</v>
      </c>
      <c r="S13" s="35" t="s">
        <v>238</v>
      </c>
    </row>
    <row r="14" customFormat="false" ht="18" hidden="false" customHeight="true" outlineLevel="0" collapsed="false">
      <c r="A14" s="17" t="n">
        <v>11</v>
      </c>
      <c r="B14" s="16" t="s">
        <v>199</v>
      </c>
      <c r="C14" s="16" t="s">
        <v>268</v>
      </c>
      <c r="D14" s="16" t="s">
        <v>265</v>
      </c>
      <c r="E14" s="16" t="s">
        <v>266</v>
      </c>
      <c r="F14" s="16" t="s">
        <v>267</v>
      </c>
      <c r="G14" s="35" t="s">
        <v>237</v>
      </c>
      <c r="H14" s="36" t="s">
        <v>248</v>
      </c>
      <c r="I14" s="36" t="s">
        <v>248</v>
      </c>
      <c r="J14" s="35" t="s">
        <v>237</v>
      </c>
      <c r="K14" s="36" t="s">
        <v>248</v>
      </c>
      <c r="L14" s="36" t="s">
        <v>248</v>
      </c>
      <c r="M14" s="35" t="s">
        <v>237</v>
      </c>
      <c r="N14" s="36" t="s">
        <v>248</v>
      </c>
      <c r="O14" s="36" t="s">
        <v>248</v>
      </c>
      <c r="P14" s="35" t="s">
        <v>237</v>
      </c>
      <c r="Q14" s="36" t="s">
        <v>248</v>
      </c>
      <c r="R14" s="36" t="s">
        <v>248</v>
      </c>
      <c r="S14" s="35" t="s">
        <v>238</v>
      </c>
    </row>
    <row r="15" customFormat="false" ht="18" hidden="false" customHeight="true" outlineLevel="0" collapsed="false">
      <c r="A15" s="21" t="n">
        <v>12</v>
      </c>
      <c r="B15" s="20" t="s">
        <v>176</v>
      </c>
      <c r="C15" s="20" t="s">
        <v>269</v>
      </c>
      <c r="D15" s="20" t="s">
        <v>270</v>
      </c>
      <c r="E15" s="20" t="s">
        <v>271</v>
      </c>
      <c r="F15" s="20" t="s">
        <v>67</v>
      </c>
      <c r="G15" s="36" t="s">
        <v>248</v>
      </c>
      <c r="H15" s="36" t="s">
        <v>248</v>
      </c>
      <c r="I15" s="36" t="s">
        <v>248</v>
      </c>
      <c r="J15" s="36" t="s">
        <v>248</v>
      </c>
      <c r="K15" s="36" t="s">
        <v>248</v>
      </c>
      <c r="L15" s="36" t="s">
        <v>248</v>
      </c>
      <c r="M15" s="36" t="s">
        <v>248</v>
      </c>
      <c r="N15" s="36" t="s">
        <v>248</v>
      </c>
      <c r="O15" s="38" t="s">
        <v>272</v>
      </c>
      <c r="P15" s="36" t="s">
        <v>248</v>
      </c>
      <c r="Q15" s="36" t="s">
        <v>248</v>
      </c>
      <c r="R15" s="36" t="s">
        <v>248</v>
      </c>
      <c r="S15" s="38" t="s">
        <v>273</v>
      </c>
    </row>
    <row r="16" customFormat="false" ht="18" hidden="false" customHeight="true" outlineLevel="0" collapsed="false">
      <c r="A16" s="17" t="n">
        <v>13</v>
      </c>
      <c r="B16" s="16" t="s">
        <v>173</v>
      </c>
      <c r="C16" s="16" t="s">
        <v>274</v>
      </c>
      <c r="D16" s="16" t="s">
        <v>275</v>
      </c>
      <c r="E16" s="16" t="s">
        <v>271</v>
      </c>
      <c r="F16" s="16" t="s">
        <v>100</v>
      </c>
      <c r="G16" s="36" t="s">
        <v>248</v>
      </c>
      <c r="H16" s="36" t="s">
        <v>248</v>
      </c>
      <c r="I16" s="36" t="s">
        <v>248</v>
      </c>
      <c r="J16" s="36" t="s">
        <v>248</v>
      </c>
      <c r="K16" s="36" t="s">
        <v>248</v>
      </c>
      <c r="L16" s="36" t="s">
        <v>248</v>
      </c>
      <c r="M16" s="36" t="s">
        <v>248</v>
      </c>
      <c r="N16" s="36" t="s">
        <v>248</v>
      </c>
      <c r="O16" s="38" t="s">
        <v>272</v>
      </c>
      <c r="P16" s="36" t="s">
        <v>248</v>
      </c>
      <c r="Q16" s="36" t="s">
        <v>248</v>
      </c>
      <c r="R16" s="36" t="s">
        <v>248</v>
      </c>
      <c r="S16" s="38" t="s">
        <v>273</v>
      </c>
    </row>
    <row r="17" customFormat="false" ht="18" hidden="false" customHeight="true" outlineLevel="0" collapsed="false">
      <c r="A17" s="21" t="n">
        <v>14</v>
      </c>
      <c r="B17" s="20" t="s">
        <v>180</v>
      </c>
      <c r="C17" s="20" t="s">
        <v>276</v>
      </c>
      <c r="D17" s="20" t="s">
        <v>277</v>
      </c>
      <c r="E17" s="20" t="s">
        <v>254</v>
      </c>
      <c r="F17" s="20" t="s">
        <v>278</v>
      </c>
      <c r="G17" s="36" t="s">
        <v>248</v>
      </c>
      <c r="H17" s="36" t="s">
        <v>248</v>
      </c>
      <c r="I17" s="36" t="s">
        <v>248</v>
      </c>
      <c r="J17" s="36" t="s">
        <v>248</v>
      </c>
      <c r="K17" s="36" t="s">
        <v>248</v>
      </c>
      <c r="L17" s="36" t="s">
        <v>248</v>
      </c>
      <c r="M17" s="36" t="s">
        <v>248</v>
      </c>
      <c r="N17" s="36" t="s">
        <v>248</v>
      </c>
      <c r="O17" s="36" t="s">
        <v>248</v>
      </c>
      <c r="P17" s="36" t="s">
        <v>248</v>
      </c>
      <c r="Q17" s="36" t="s">
        <v>248</v>
      </c>
      <c r="R17" s="35" t="s">
        <v>237</v>
      </c>
      <c r="S17" s="37" t="s">
        <v>256</v>
      </c>
    </row>
    <row r="18" customFormat="false" ht="18" hidden="false" customHeight="true" outlineLevel="0" collapsed="false">
      <c r="A18" s="17" t="n">
        <v>15</v>
      </c>
      <c r="B18" s="16" t="s">
        <v>279</v>
      </c>
      <c r="C18" s="16" t="s">
        <v>149</v>
      </c>
      <c r="D18" s="16" t="s">
        <v>280</v>
      </c>
      <c r="E18" s="16" t="s">
        <v>251</v>
      </c>
      <c r="F18" s="16" t="s">
        <v>281</v>
      </c>
      <c r="G18" s="35" t="s">
        <v>237</v>
      </c>
      <c r="H18" s="36" t="s">
        <v>248</v>
      </c>
      <c r="I18" s="36" t="s">
        <v>248</v>
      </c>
      <c r="J18" s="36" t="s">
        <v>248</v>
      </c>
      <c r="K18" s="36" t="s">
        <v>248</v>
      </c>
      <c r="L18" s="35" t="s">
        <v>237</v>
      </c>
      <c r="M18" s="36" t="s">
        <v>248</v>
      </c>
      <c r="N18" s="36" t="s">
        <v>248</v>
      </c>
      <c r="O18" s="36" t="s">
        <v>248</v>
      </c>
      <c r="P18" s="36" t="s">
        <v>248</v>
      </c>
      <c r="Q18" s="36" t="s">
        <v>248</v>
      </c>
      <c r="R18" s="35" t="s">
        <v>237</v>
      </c>
      <c r="S18" s="35" t="s">
        <v>238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7" min="3" style="0" width="1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3" t="s">
        <v>283</v>
      </c>
      <c r="B3" s="13"/>
      <c r="C3" s="13"/>
      <c r="D3" s="13"/>
      <c r="E3" s="13"/>
      <c r="F3" s="13"/>
      <c r="G3" s="13"/>
      <c r="H3" s="13"/>
    </row>
    <row r="4" customFormat="false" ht="21.75" hidden="false" customHeight="true" outlineLevel="0" collapsed="false">
      <c r="A4" s="14" t="s">
        <v>16</v>
      </c>
      <c r="B4" s="14" t="s">
        <v>284</v>
      </c>
      <c r="C4" s="14" t="s">
        <v>285</v>
      </c>
      <c r="D4" s="14" t="s">
        <v>286</v>
      </c>
      <c r="E4" s="14" t="s">
        <v>287</v>
      </c>
      <c r="F4" s="14" t="s">
        <v>288</v>
      </c>
      <c r="G4" s="14" t="s">
        <v>22</v>
      </c>
      <c r="H4" s="14" t="s">
        <v>114</v>
      </c>
    </row>
    <row r="5" customFormat="false" ht="19.5" hidden="false" customHeight="true" outlineLevel="0" collapsed="false">
      <c r="A5" s="39" t="s">
        <v>289</v>
      </c>
      <c r="B5" s="39"/>
      <c r="C5" s="39"/>
      <c r="D5" s="39"/>
      <c r="E5" s="39"/>
      <c r="F5" s="39"/>
      <c r="G5" s="39"/>
      <c r="H5" s="39"/>
    </row>
    <row r="6" customFormat="false" ht="18" hidden="false" customHeight="true" outlineLevel="0" collapsed="false">
      <c r="A6" s="21" t="s">
        <v>290</v>
      </c>
      <c r="B6" s="20" t="s">
        <v>291</v>
      </c>
      <c r="C6" s="40" t="n">
        <v>72000000</v>
      </c>
      <c r="D6" s="40" t="n">
        <v>68450000</v>
      </c>
      <c r="E6" s="41" t="n">
        <f aca="false">C6-D6</f>
        <v>3550000</v>
      </c>
      <c r="F6" s="42" t="n">
        <f aca="false">IF(C6=0,0,D6/C6)</f>
        <v>0.950694444444444</v>
      </c>
      <c r="G6" s="43" t="str">
        <f aca="false">IF(C6=0,"Dijadwalkan",IF(D6&lt;C6,"Hemat",IF(D6&gt;C6,"Overbudget","Sesuai")))</f>
        <v>Hemat</v>
      </c>
      <c r="H6" s="44" t="s">
        <v>292</v>
      </c>
    </row>
    <row r="7" customFormat="false" ht="18" hidden="false" customHeight="true" outlineLevel="0" collapsed="false">
      <c r="A7" s="21" t="s">
        <v>293</v>
      </c>
      <c r="B7" s="20" t="s">
        <v>294</v>
      </c>
      <c r="C7" s="40" t="n">
        <v>12000000</v>
      </c>
      <c r="D7" s="40" t="n">
        <v>11200000</v>
      </c>
      <c r="E7" s="41" t="n">
        <f aca="false">C7-D7</f>
        <v>800000</v>
      </c>
      <c r="F7" s="42" t="n">
        <f aca="false">IF(C7=0,0,D7/C7)</f>
        <v>0.933333333333333</v>
      </c>
      <c r="G7" s="43" t="str">
        <f aca="false">IF(C7=0,"Dijadwalkan",IF(D7&lt;C7,"Hemat",IF(D7&gt;C7,"Overbudget","Sesuai")))</f>
        <v>Hemat</v>
      </c>
      <c r="H7" s="44" t="s">
        <v>295</v>
      </c>
    </row>
    <row r="8" customFormat="false" ht="18" hidden="false" customHeight="true" outlineLevel="0" collapsed="false">
      <c r="A8" s="21" t="s">
        <v>296</v>
      </c>
      <c r="B8" s="20" t="s">
        <v>297</v>
      </c>
      <c r="C8" s="40" t="n">
        <v>48000000</v>
      </c>
      <c r="D8" s="40" t="n">
        <v>47800000</v>
      </c>
      <c r="E8" s="41" t="n">
        <f aca="false">C8-D8</f>
        <v>200000</v>
      </c>
      <c r="F8" s="42" t="n">
        <f aca="false">IF(C8=0,0,D8/C8)</f>
        <v>0.995833333333333</v>
      </c>
      <c r="G8" s="43" t="str">
        <f aca="false">IF(C8=0,"Dijadwalkan",IF(D8&lt;C8,"Hemat",IF(D8&gt;C8,"Overbudget","Sesuai")))</f>
        <v>Hemat</v>
      </c>
      <c r="H8" s="44" t="s">
        <v>295</v>
      </c>
    </row>
    <row r="9" customFormat="false" ht="18" hidden="false" customHeight="true" outlineLevel="0" collapsed="false">
      <c r="A9" s="21" t="s">
        <v>298</v>
      </c>
      <c r="B9" s="20" t="s">
        <v>299</v>
      </c>
      <c r="C9" s="40" t="n">
        <v>96000000</v>
      </c>
      <c r="D9" s="40" t="n">
        <v>96000000</v>
      </c>
      <c r="E9" s="41" t="n">
        <f aca="false">C9-D9</f>
        <v>0</v>
      </c>
      <c r="F9" s="42" t="n">
        <f aca="false">IF(C9=0,0,D9/C9)</f>
        <v>1</v>
      </c>
      <c r="G9" s="43" t="str">
        <f aca="false">IF(C9=0,"Dijadwalkan",IF(D9&lt;C9,"Hemat",IF(D9&gt;C9,"Overbudget","Sesuai")))</f>
        <v>Sesuai</v>
      </c>
      <c r="H9" s="44" t="s">
        <v>300</v>
      </c>
    </row>
    <row r="10" customFormat="false" ht="18" hidden="false" customHeight="true" outlineLevel="0" collapsed="false">
      <c r="A10" s="21" t="s">
        <v>301</v>
      </c>
      <c r="B10" s="20" t="s">
        <v>302</v>
      </c>
      <c r="C10" s="40" t="n">
        <v>60000000</v>
      </c>
      <c r="D10" s="40" t="n">
        <v>58500000</v>
      </c>
      <c r="E10" s="41" t="n">
        <f aca="false">C10-D10</f>
        <v>1500000</v>
      </c>
      <c r="F10" s="42" t="n">
        <f aca="false">IF(C10=0,0,D10/C10)</f>
        <v>0.975</v>
      </c>
      <c r="G10" s="43" t="str">
        <f aca="false">IF(C10=0,"Dijadwalkan",IF(D10&lt;C10,"Hemat",IF(D10&gt;C10,"Overbudget","Sesuai")))</f>
        <v>Hemat</v>
      </c>
      <c r="H10" s="44" t="s">
        <v>295</v>
      </c>
    </row>
    <row r="11" customFormat="false" ht="19.5" hidden="false" customHeight="true" outlineLevel="0" collapsed="false">
      <c r="A11" s="39" t="s">
        <v>303</v>
      </c>
      <c r="B11" s="39"/>
      <c r="C11" s="39"/>
      <c r="D11" s="39"/>
      <c r="E11" s="39"/>
      <c r="F11" s="39"/>
      <c r="G11" s="39"/>
      <c r="H11" s="39"/>
    </row>
    <row r="12" customFormat="false" ht="18" hidden="false" customHeight="true" outlineLevel="0" collapsed="false">
      <c r="A12" s="21" t="s">
        <v>304</v>
      </c>
      <c r="B12" s="20" t="s">
        <v>305</v>
      </c>
      <c r="C12" s="40" t="n">
        <v>24000000</v>
      </c>
      <c r="D12" s="40" t="n">
        <v>22800000</v>
      </c>
      <c r="E12" s="41" t="n">
        <f aca="false">C12-D12</f>
        <v>1200000</v>
      </c>
      <c r="F12" s="42" t="n">
        <f aca="false">IF(C12=0,0,D12/C12)</f>
        <v>0.95</v>
      </c>
      <c r="G12" s="43" t="str">
        <f aca="false">IF(C12=0,"Dijadwalkan",IF(D12&lt;C12,"Hemat",IF(D12&gt;C12,"Overbudget","Sesuai")))</f>
        <v>Hemat</v>
      </c>
      <c r="H12" s="44" t="s">
        <v>306</v>
      </c>
    </row>
    <row r="13" customFormat="false" ht="18" hidden="false" customHeight="true" outlineLevel="0" collapsed="false">
      <c r="A13" s="21" t="s">
        <v>307</v>
      </c>
      <c r="B13" s="20" t="s">
        <v>308</v>
      </c>
      <c r="C13" s="40" t="n">
        <v>18000000</v>
      </c>
      <c r="D13" s="40" t="n">
        <v>19200000</v>
      </c>
      <c r="E13" s="41" t="n">
        <f aca="false">C13-D13</f>
        <v>-1200000</v>
      </c>
      <c r="F13" s="42" t="n">
        <f aca="false">IF(C13=0,0,D13/C13)</f>
        <v>1.06666666666667</v>
      </c>
      <c r="G13" s="43" t="str">
        <f aca="false">IF(C13=0,"Dijadwalkan",IF(D13&lt;C13,"Hemat",IF(D13&gt;C13,"Overbudget","Sesuai")))</f>
        <v>Overbudget</v>
      </c>
      <c r="H13" s="44" t="s">
        <v>309</v>
      </c>
    </row>
    <row r="14" customFormat="false" ht="18" hidden="false" customHeight="true" outlineLevel="0" collapsed="false">
      <c r="A14" s="21" t="s">
        <v>310</v>
      </c>
      <c r="B14" s="20" t="s">
        <v>311</v>
      </c>
      <c r="C14" s="40" t="n">
        <v>36000000</v>
      </c>
      <c r="D14" s="40" t="n">
        <v>36000000</v>
      </c>
      <c r="E14" s="41" t="n">
        <f aca="false">C14-D14</f>
        <v>0</v>
      </c>
      <c r="F14" s="42" t="n">
        <f aca="false">IF(C14=0,0,D14/C14)</f>
        <v>1</v>
      </c>
      <c r="G14" s="43" t="str">
        <f aca="false">IF(C14=0,"Dijadwalkan",IF(D14&lt;C14,"Hemat",IF(D14&gt;C14,"Overbudget","Sesuai")))</f>
        <v>Sesuai</v>
      </c>
      <c r="H14" s="44" t="s">
        <v>300</v>
      </c>
    </row>
    <row r="15" customFormat="false" ht="18" hidden="false" customHeight="true" outlineLevel="0" collapsed="false">
      <c r="A15" s="21" t="s">
        <v>312</v>
      </c>
      <c r="B15" s="20" t="s">
        <v>313</v>
      </c>
      <c r="C15" s="40" t="n">
        <v>20000000</v>
      </c>
      <c r="D15" s="40" t="n">
        <v>15600000</v>
      </c>
      <c r="E15" s="41" t="n">
        <f aca="false">C15-D15</f>
        <v>4400000</v>
      </c>
      <c r="F15" s="42" t="n">
        <f aca="false">IF(C15=0,0,D15/C15)</f>
        <v>0.78</v>
      </c>
      <c r="G15" s="43" t="str">
        <f aca="false">IF(C15=0,"Dijadwalkan",IF(D15&lt;C15,"Hemat",IF(D15&gt;C15,"Overbudget","Sesuai")))</f>
        <v>Hemat</v>
      </c>
      <c r="H15" s="44" t="s">
        <v>306</v>
      </c>
    </row>
    <row r="16" customFormat="false" ht="18" hidden="false" customHeight="true" outlineLevel="0" collapsed="false">
      <c r="A16" s="21" t="s">
        <v>314</v>
      </c>
      <c r="B16" s="20" t="s">
        <v>315</v>
      </c>
      <c r="C16" s="40" t="n">
        <v>15000000</v>
      </c>
      <c r="D16" s="40" t="n">
        <v>0</v>
      </c>
      <c r="E16" s="41" t="n">
        <f aca="false">C16-D16</f>
        <v>15000000</v>
      </c>
      <c r="F16" s="42" t="n">
        <f aca="false">IF(C16=0,0,D16/C16)</f>
        <v>0</v>
      </c>
      <c r="G16" s="43" t="str">
        <f aca="false">IF(C16=0,"Dijadwalkan",IF(D16&lt;C16,"Hemat",IF(D16&gt;C16,"Overbudget","Sesuai")))</f>
        <v>Hemat</v>
      </c>
      <c r="H16" s="44" t="s">
        <v>316</v>
      </c>
    </row>
    <row r="17" customFormat="false" ht="19.5" hidden="false" customHeight="true" outlineLevel="0" collapsed="false">
      <c r="A17" s="39" t="s">
        <v>317</v>
      </c>
      <c r="B17" s="39"/>
      <c r="C17" s="39"/>
      <c r="D17" s="39"/>
      <c r="E17" s="39"/>
      <c r="F17" s="39"/>
      <c r="G17" s="39"/>
      <c r="H17" s="39"/>
    </row>
    <row r="18" customFormat="false" ht="18" hidden="false" customHeight="true" outlineLevel="0" collapsed="false">
      <c r="A18" s="21" t="s">
        <v>318</v>
      </c>
      <c r="B18" s="20" t="s">
        <v>319</v>
      </c>
      <c r="C18" s="40" t="n">
        <v>125000000</v>
      </c>
      <c r="D18" s="40" t="n">
        <v>120500000</v>
      </c>
      <c r="E18" s="41" t="n">
        <f aca="false">C18-D18</f>
        <v>4500000</v>
      </c>
      <c r="F18" s="42" t="n">
        <f aca="false">IF(C18=0,0,D18/C18)</f>
        <v>0.964</v>
      </c>
      <c r="G18" s="43" t="str">
        <f aca="false">IF(C18=0,"Dijadwalkan",IF(D18&lt;C18,"Hemat",IF(D18&gt;C18,"Overbudget","Sesuai")))</f>
        <v>Hemat</v>
      </c>
      <c r="H18" s="44" t="s">
        <v>295</v>
      </c>
    </row>
    <row r="19" customFormat="false" ht="18" hidden="false" customHeight="true" outlineLevel="0" collapsed="false">
      <c r="A19" s="21" t="s">
        <v>320</v>
      </c>
      <c r="B19" s="20" t="s">
        <v>321</v>
      </c>
      <c r="C19" s="40" t="n">
        <v>85000000</v>
      </c>
      <c r="D19" s="40" t="n">
        <v>82300000</v>
      </c>
      <c r="E19" s="41" t="n">
        <f aca="false">C19-D19</f>
        <v>2700000</v>
      </c>
      <c r="F19" s="42" t="n">
        <f aca="false">IF(C19=0,0,D19/C19)</f>
        <v>0.968235294117647</v>
      </c>
      <c r="G19" s="43" t="str">
        <f aca="false">IF(C19=0,"Dijadwalkan",IF(D19&lt;C19,"Hemat",IF(D19&gt;C19,"Overbudget","Sesuai")))</f>
        <v>Hemat</v>
      </c>
      <c r="H19" s="44" t="s">
        <v>295</v>
      </c>
    </row>
    <row r="20" customFormat="false" ht="18" hidden="false" customHeight="true" outlineLevel="0" collapsed="false">
      <c r="A20" s="21" t="s">
        <v>322</v>
      </c>
      <c r="B20" s="20" t="s">
        <v>323</v>
      </c>
      <c r="C20" s="40" t="n">
        <v>15000000</v>
      </c>
      <c r="D20" s="40" t="n">
        <v>14800000</v>
      </c>
      <c r="E20" s="41" t="n">
        <f aca="false">C20-D20</f>
        <v>200000</v>
      </c>
      <c r="F20" s="42" t="n">
        <f aca="false">IF(C20=0,0,D20/C20)</f>
        <v>0.986666666666667</v>
      </c>
      <c r="G20" s="43" t="str">
        <f aca="false">IF(C20=0,"Dijadwalkan",IF(D20&lt;C20,"Hemat",IF(D20&gt;C20,"Overbudget","Sesuai")))</f>
        <v>Hemat</v>
      </c>
      <c r="H20" s="44" t="s">
        <v>295</v>
      </c>
    </row>
    <row r="21" customFormat="false" ht="18" hidden="false" customHeight="true" outlineLevel="0" collapsed="false">
      <c r="A21" s="21" t="s">
        <v>324</v>
      </c>
      <c r="B21" s="20" t="s">
        <v>36</v>
      </c>
      <c r="C21" s="40" t="n">
        <v>50000000</v>
      </c>
      <c r="D21" s="40" t="n">
        <v>50000000</v>
      </c>
      <c r="E21" s="41" t="n">
        <f aca="false">C21-D21</f>
        <v>0</v>
      </c>
      <c r="F21" s="42" t="n">
        <f aca="false">IF(C21=0,0,D21/C21)</f>
        <v>1</v>
      </c>
      <c r="G21" s="43" t="str">
        <f aca="false">IF(C21=0,"Dijadwalkan",IF(D21&lt;C21,"Hemat",IF(D21&gt;C21,"Overbudget","Sesuai")))</f>
        <v>Sesuai</v>
      </c>
      <c r="H21" s="44" t="s">
        <v>325</v>
      </c>
    </row>
    <row r="22" customFormat="false" ht="19.5" hidden="false" customHeight="true" outlineLevel="0" collapsed="false">
      <c r="A22" s="39" t="s">
        <v>326</v>
      </c>
      <c r="B22" s="39"/>
      <c r="C22" s="39"/>
      <c r="D22" s="39"/>
      <c r="E22" s="39"/>
      <c r="F22" s="39"/>
      <c r="G22" s="39"/>
      <c r="H22" s="39"/>
    </row>
    <row r="23" customFormat="false" ht="18" hidden="false" customHeight="true" outlineLevel="0" collapsed="false">
      <c r="A23" s="21" t="s">
        <v>327</v>
      </c>
      <c r="B23" s="20" t="s">
        <v>328</v>
      </c>
      <c r="C23" s="40" t="n">
        <v>45000000</v>
      </c>
      <c r="D23" s="40" t="n">
        <v>45000000</v>
      </c>
      <c r="E23" s="41" t="n">
        <f aca="false">C23-D23</f>
        <v>0</v>
      </c>
      <c r="F23" s="42" t="n">
        <f aca="false">IF(C23=0,0,D23/C23)</f>
        <v>1</v>
      </c>
      <c r="G23" s="43" t="str">
        <f aca="false">IF(C23=0,"Dijadwalkan",IF(D23&lt;C23,"Hemat",IF(D23&gt;C23,"Overbudget","Sesuai")))</f>
        <v>Sesuai</v>
      </c>
      <c r="H23" s="44" t="s">
        <v>329</v>
      </c>
    </row>
    <row r="24" customFormat="false" ht="18" hidden="false" customHeight="true" outlineLevel="0" collapsed="false">
      <c r="A24" s="21" t="s">
        <v>330</v>
      </c>
      <c r="B24" s="20" t="s">
        <v>331</v>
      </c>
      <c r="C24" s="40" t="n">
        <v>28000000</v>
      </c>
      <c r="D24" s="40" t="n">
        <v>28000000</v>
      </c>
      <c r="E24" s="41" t="n">
        <f aca="false">C24-D24</f>
        <v>0</v>
      </c>
      <c r="F24" s="42" t="n">
        <f aca="false">IF(C24=0,0,D24/C24)</f>
        <v>1</v>
      </c>
      <c r="G24" s="43" t="str">
        <f aca="false">IF(C24=0,"Dijadwalkan",IF(D24&lt;C24,"Hemat",IF(D24&gt;C24,"Overbudget","Sesuai")))</f>
        <v>Sesuai</v>
      </c>
      <c r="H24" s="44" t="s">
        <v>332</v>
      </c>
    </row>
    <row r="25" customFormat="false" ht="18" hidden="false" customHeight="true" outlineLevel="0" collapsed="false">
      <c r="A25" s="21" t="s">
        <v>333</v>
      </c>
      <c r="B25" s="20" t="s">
        <v>334</v>
      </c>
      <c r="C25" s="40" t="n">
        <v>30000000</v>
      </c>
      <c r="D25" s="40" t="n">
        <v>12300000</v>
      </c>
      <c r="E25" s="41" t="n">
        <f aca="false">C25-D25</f>
        <v>17700000</v>
      </c>
      <c r="F25" s="42" t="n">
        <f aca="false">IF(C25=0,0,D25/C25)</f>
        <v>0.41</v>
      </c>
      <c r="G25" s="43" t="str">
        <f aca="false">IF(C25=0,"Dijadwalkan",IF(D25&lt;C25,"Hemat",IF(D25&gt;C25,"Overbudget","Sesuai")))</f>
        <v>Hemat</v>
      </c>
      <c r="H25" s="44" t="s">
        <v>335</v>
      </c>
    </row>
    <row r="26" customFormat="false" ht="21.75" hidden="false" customHeight="true" outlineLevel="0" collapsed="false">
      <c r="A26" s="13" t="s">
        <v>336</v>
      </c>
      <c r="B26" s="13"/>
      <c r="C26" s="45" t="n">
        <f aca="false">C6+C7+C8+C9+C10+C12+C13+C14+C15+C16+C18+C19+C20+C21+C23+C24+C25</f>
        <v>779000000</v>
      </c>
      <c r="D26" s="45" t="n">
        <f aca="false">D6+D7+D8+D9+D10+D12+D13+D14+D15+D16+D18+D19+D20+D21+D23+D24+D25</f>
        <v>728450000</v>
      </c>
      <c r="E26" s="45" t="n">
        <f aca="false">C26-D26</f>
        <v>50550000</v>
      </c>
      <c r="F26" s="46" t="n">
        <f aca="false">IF(C26=0,0,D26/C26)</f>
        <v>0.935109114249037</v>
      </c>
      <c r="G26" s="32"/>
      <c r="H26" s="32"/>
    </row>
  </sheetData>
  <mergeCells count="8">
    <mergeCell ref="A1:H1"/>
    <mergeCell ref="A2:H2"/>
    <mergeCell ref="A3:H3"/>
    <mergeCell ref="A5:H5"/>
    <mergeCell ref="A11:H11"/>
    <mergeCell ref="A17:H17"/>
    <mergeCell ref="A22:H22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8" min="5" style="0" width="18"/>
    <col collapsed="false" customWidth="true" hidden="false" outlineLevel="0" max="9" min="9" style="0" width="28"/>
  </cols>
  <sheetData>
    <row r="1" customFormat="false" ht="31.5" hidden="false" customHeight="true" outlineLevel="0" collapsed="false">
      <c r="A1" s="1" t="s">
        <v>337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27" t="s">
        <v>16</v>
      </c>
      <c r="B3" s="27" t="s">
        <v>338</v>
      </c>
      <c r="C3" s="27" t="s">
        <v>104</v>
      </c>
      <c r="D3" s="27" t="s">
        <v>339</v>
      </c>
      <c r="E3" s="27" t="s">
        <v>340</v>
      </c>
      <c r="F3" s="27" t="s">
        <v>341</v>
      </c>
      <c r="G3" s="27" t="s">
        <v>342</v>
      </c>
      <c r="H3" s="27" t="s">
        <v>343</v>
      </c>
      <c r="I3" s="27" t="s">
        <v>344</v>
      </c>
    </row>
    <row r="4" customFormat="false" ht="18" hidden="false" customHeight="true" outlineLevel="0" collapsed="false">
      <c r="A4" s="17" t="s">
        <v>290</v>
      </c>
      <c r="B4" s="17" t="s">
        <v>345</v>
      </c>
      <c r="C4" s="16" t="s">
        <v>115</v>
      </c>
      <c r="D4" s="16" t="s">
        <v>346</v>
      </c>
      <c r="E4" s="18" t="s">
        <v>347</v>
      </c>
      <c r="F4" s="16" t="s">
        <v>83</v>
      </c>
      <c r="G4" s="16" t="s">
        <v>348</v>
      </c>
      <c r="H4" s="16" t="s">
        <v>122</v>
      </c>
      <c r="I4" s="16" t="s">
        <v>349</v>
      </c>
    </row>
    <row r="5" customFormat="false" ht="18" hidden="false" customHeight="true" outlineLevel="0" collapsed="false">
      <c r="A5" s="21" t="s">
        <v>293</v>
      </c>
      <c r="B5" s="21" t="s">
        <v>345</v>
      </c>
      <c r="C5" s="20" t="s">
        <v>176</v>
      </c>
      <c r="D5" s="20" t="s">
        <v>350</v>
      </c>
      <c r="E5" s="18" t="s">
        <v>347</v>
      </c>
      <c r="F5" s="20" t="s">
        <v>83</v>
      </c>
      <c r="G5" s="20" t="s">
        <v>149</v>
      </c>
      <c r="H5" s="20" t="s">
        <v>122</v>
      </c>
      <c r="I5" s="20" t="s">
        <v>351</v>
      </c>
    </row>
    <row r="6" customFormat="false" ht="18" hidden="false" customHeight="true" outlineLevel="0" collapsed="false">
      <c r="A6" s="17" t="s">
        <v>296</v>
      </c>
      <c r="B6" s="17" t="s">
        <v>352</v>
      </c>
      <c r="C6" s="16" t="s">
        <v>124</v>
      </c>
      <c r="D6" s="16" t="s">
        <v>125</v>
      </c>
      <c r="E6" s="47" t="s">
        <v>353</v>
      </c>
      <c r="F6" s="16" t="s">
        <v>354</v>
      </c>
      <c r="G6" s="16" t="s">
        <v>355</v>
      </c>
      <c r="H6" s="16" t="s">
        <v>119</v>
      </c>
      <c r="I6" s="16" t="s">
        <v>356</v>
      </c>
    </row>
    <row r="7" customFormat="false" ht="18" hidden="false" customHeight="true" outlineLevel="0" collapsed="false">
      <c r="A7" s="21" t="s">
        <v>298</v>
      </c>
      <c r="B7" s="21" t="s">
        <v>357</v>
      </c>
      <c r="C7" s="20" t="s">
        <v>130</v>
      </c>
      <c r="D7" s="20" t="s">
        <v>257</v>
      </c>
      <c r="E7" s="18" t="s">
        <v>347</v>
      </c>
      <c r="F7" s="20" t="s">
        <v>83</v>
      </c>
      <c r="G7" s="20" t="s">
        <v>358</v>
      </c>
      <c r="H7" s="20" t="s">
        <v>122</v>
      </c>
      <c r="I7" s="20" t="s">
        <v>359</v>
      </c>
    </row>
    <row r="8" customFormat="false" ht="18" hidden="false" customHeight="true" outlineLevel="0" collapsed="false">
      <c r="A8" s="17" t="s">
        <v>301</v>
      </c>
      <c r="B8" s="17" t="s">
        <v>360</v>
      </c>
      <c r="C8" s="16" t="s">
        <v>202</v>
      </c>
      <c r="D8" s="16" t="s">
        <v>361</v>
      </c>
      <c r="E8" s="18" t="s">
        <v>347</v>
      </c>
      <c r="F8" s="16" t="s">
        <v>83</v>
      </c>
      <c r="G8" s="16" t="s">
        <v>91</v>
      </c>
      <c r="H8" s="16" t="s">
        <v>119</v>
      </c>
      <c r="I8" s="16" t="s">
        <v>362</v>
      </c>
    </row>
    <row r="9" customFormat="false" ht="18" hidden="false" customHeight="true" outlineLevel="0" collapsed="false">
      <c r="A9" s="21" t="s">
        <v>304</v>
      </c>
      <c r="B9" s="21" t="s">
        <v>363</v>
      </c>
      <c r="C9" s="20" t="s">
        <v>151</v>
      </c>
      <c r="D9" s="20" t="s">
        <v>364</v>
      </c>
      <c r="E9" s="47" t="s">
        <v>365</v>
      </c>
      <c r="F9" s="20" t="s">
        <v>366</v>
      </c>
      <c r="G9" s="20" t="s">
        <v>367</v>
      </c>
      <c r="H9" s="20" t="s">
        <v>119</v>
      </c>
      <c r="I9" s="20" t="s">
        <v>368</v>
      </c>
    </row>
    <row r="10" customFormat="false" ht="18" hidden="false" customHeight="true" outlineLevel="0" collapsed="false">
      <c r="A10" s="17" t="s">
        <v>307</v>
      </c>
      <c r="B10" s="17" t="s">
        <v>369</v>
      </c>
      <c r="C10" s="16" t="s">
        <v>136</v>
      </c>
      <c r="D10" s="16" t="s">
        <v>137</v>
      </c>
      <c r="E10" s="22" t="s">
        <v>370</v>
      </c>
      <c r="F10" s="16" t="s">
        <v>69</v>
      </c>
      <c r="G10" s="16" t="s">
        <v>371</v>
      </c>
      <c r="H10" s="16" t="s">
        <v>119</v>
      </c>
      <c r="I10" s="16" t="s">
        <v>372</v>
      </c>
    </row>
    <row r="11" customFormat="false" ht="18" hidden="false" customHeight="true" outlineLevel="0" collapsed="false">
      <c r="A11" s="21" t="s">
        <v>310</v>
      </c>
      <c r="B11" s="21" t="s">
        <v>373</v>
      </c>
      <c r="C11" s="20" t="s">
        <v>176</v>
      </c>
      <c r="D11" s="20" t="s">
        <v>269</v>
      </c>
      <c r="E11" s="22" t="s">
        <v>370</v>
      </c>
      <c r="F11" s="20" t="s">
        <v>80</v>
      </c>
      <c r="G11" s="20" t="s">
        <v>278</v>
      </c>
      <c r="H11" s="20" t="s">
        <v>119</v>
      </c>
      <c r="I11" s="20" t="s">
        <v>374</v>
      </c>
    </row>
    <row r="12" customFormat="false" ht="18" hidden="false" customHeight="true" outlineLevel="0" collapsed="false">
      <c r="A12" s="17" t="s">
        <v>312</v>
      </c>
      <c r="B12" s="17" t="s">
        <v>375</v>
      </c>
      <c r="C12" s="16" t="s">
        <v>173</v>
      </c>
      <c r="D12" s="16" t="s">
        <v>174</v>
      </c>
      <c r="E12" s="22" t="s">
        <v>370</v>
      </c>
      <c r="F12" s="16" t="s">
        <v>80</v>
      </c>
      <c r="G12" s="16" t="s">
        <v>371</v>
      </c>
      <c r="H12" s="16" t="s">
        <v>119</v>
      </c>
      <c r="I12" s="16" t="s">
        <v>376</v>
      </c>
    </row>
    <row r="13" customFormat="false" ht="18" hidden="false" customHeight="true" outlineLevel="0" collapsed="false">
      <c r="A13" s="21" t="s">
        <v>314</v>
      </c>
      <c r="B13" s="21" t="s">
        <v>377</v>
      </c>
      <c r="C13" s="20" t="s">
        <v>206</v>
      </c>
      <c r="D13" s="20" t="s">
        <v>207</v>
      </c>
      <c r="E13" s="48" t="s">
        <v>378</v>
      </c>
      <c r="F13" s="20" t="s">
        <v>149</v>
      </c>
      <c r="G13" s="20" t="s">
        <v>379</v>
      </c>
      <c r="H13" s="20" t="s">
        <v>119</v>
      </c>
      <c r="I13" s="20" t="s">
        <v>380</v>
      </c>
    </row>
    <row r="14" customFormat="false" ht="18" hidden="false" customHeight="true" outlineLevel="0" collapsed="false">
      <c r="A14" s="17" t="s">
        <v>318</v>
      </c>
      <c r="B14" s="17" t="s">
        <v>381</v>
      </c>
      <c r="C14" s="16" t="s">
        <v>121</v>
      </c>
      <c r="D14" s="16" t="s">
        <v>346</v>
      </c>
      <c r="E14" s="49" t="s">
        <v>382</v>
      </c>
      <c r="F14" s="16" t="s">
        <v>69</v>
      </c>
      <c r="G14" s="16" t="s">
        <v>383</v>
      </c>
      <c r="H14" s="16" t="s">
        <v>122</v>
      </c>
      <c r="I14" s="16" t="s">
        <v>384</v>
      </c>
    </row>
    <row r="15" customFormat="false" ht="18" hidden="false" customHeight="true" outlineLevel="0" collapsed="false">
      <c r="A15" s="21" t="s">
        <v>320</v>
      </c>
      <c r="B15" s="21" t="s">
        <v>385</v>
      </c>
      <c r="C15" s="20" t="s">
        <v>195</v>
      </c>
      <c r="D15" s="20" t="s">
        <v>264</v>
      </c>
      <c r="E15" s="50" t="s">
        <v>265</v>
      </c>
      <c r="F15" s="20" t="s">
        <v>91</v>
      </c>
      <c r="G15" s="20" t="s">
        <v>386</v>
      </c>
      <c r="H15" s="20" t="s">
        <v>119</v>
      </c>
      <c r="I15" s="20" t="s">
        <v>387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2026-05-05T08:04:23Z</dcterms:created>
  <dc:creator>openpyxl</dc:creator>
  <dc:description/>
  <dc:language>en-US</dc:language>
  <cp:lastModifiedBy/>
  <dcterms:modified xsi:type="dcterms:W3CDTF">2026-05-05T08:04:23Z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