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Pipeline Rekrutmen" sheetId="2" state="visible" r:id="rId2"/>
    <sheet xmlns:r="http://schemas.openxmlformats.org/officeDocument/2006/relationships" name="Recruitment Checklist" sheetId="3" state="visible" r:id="rId3"/>
    <sheet xmlns:r="http://schemas.openxmlformats.org/officeDocument/2006/relationships" name="Interview Guide" sheetId="4" state="visible" r:id="rId4"/>
    <sheet xmlns:r="http://schemas.openxmlformats.org/officeDocument/2006/relationships" name="Template Email"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7">
    <font>
      <name val="Calibri"/>
      <family val="2"/>
      <color theme="1"/>
      <sz val="11"/>
      <scheme val="minor"/>
    </font>
    <font>
      <name val="Arial"/>
      <b val="1"/>
      <color rgb="00FFFFFF"/>
      <sz val="14"/>
    </font>
    <font>
      <name val="Arial"/>
      <color rgb="00CCFBF1"/>
      <sz val="9"/>
    </font>
    <font>
      <name val="Arial"/>
      <b val="1"/>
      <color rgb="00CCFBF1"/>
      <sz val="8"/>
    </font>
    <font>
      <name val="Arial"/>
      <b val="1"/>
      <color rgb="00FFFFFF"/>
      <sz val="18"/>
    </font>
    <font>
      <name val="Arial"/>
      <b val="1"/>
      <color rgb="00FFFFFF"/>
      <sz val="10"/>
    </font>
    <font>
      <name val="Arial"/>
      <b val="1"/>
      <color rgb="00FFFFFF"/>
      <sz val="9"/>
    </font>
    <font>
      <name val="Arial"/>
      <color rgb="000F172A"/>
      <sz val="9"/>
    </font>
    <font>
      <name val="Arial"/>
      <b val="1"/>
      <color rgb="0016A34A"/>
      <sz val="9"/>
    </font>
    <font>
      <name val="Arial"/>
      <b val="1"/>
      <color rgb="00D97706"/>
      <sz val="9"/>
    </font>
    <font>
      <name val="Arial"/>
      <b val="1"/>
      <color rgb="000F172A"/>
      <sz val="9"/>
    </font>
    <font>
      <name val="Arial"/>
      <b val="1"/>
      <color rgb="00FFFFFF"/>
      <sz val="13"/>
    </font>
    <font>
      <name val="Arial"/>
      <b val="1"/>
      <color rgb="001E3A5F"/>
      <sz val="9"/>
    </font>
    <font>
      <name val="Arial"/>
      <b val="1"/>
      <color rgb="000D9488"/>
      <sz val="9"/>
    </font>
    <font>
      <name val="Arial"/>
      <b val="1"/>
      <color rgb="00DC2626"/>
      <sz val="9"/>
    </font>
    <font>
      <name val="Arial"/>
      <b val="1"/>
      <color rgb="000F766E"/>
      <sz val="9"/>
    </font>
    <font>
      <name val="Arial"/>
      <b val="1"/>
      <color rgb="00FFFFFF"/>
      <sz val="11"/>
    </font>
  </fonts>
  <fills count="26">
    <fill>
      <patternFill/>
    </fill>
    <fill>
      <patternFill patternType="gray125"/>
    </fill>
    <fill>
      <patternFill patternType="solid">
        <fgColor rgb="001E3A5F"/>
      </patternFill>
    </fill>
    <fill>
      <patternFill patternType="solid">
        <fgColor rgb="000D9488"/>
      </patternFill>
    </fill>
    <fill>
      <patternFill patternType="solid">
        <fgColor rgb="000F766E"/>
      </patternFill>
    </fill>
    <fill>
      <patternFill patternType="solid">
        <fgColor rgb="00C2410C"/>
      </patternFill>
    </fill>
    <fill>
      <patternFill patternType="solid">
        <fgColor rgb="0016A34A"/>
      </patternFill>
    </fill>
    <fill>
      <patternFill patternType="solid">
        <fgColor rgb="00DC2626"/>
      </patternFill>
    </fill>
    <fill>
      <patternFill patternType="solid">
        <fgColor rgb="008B5CF6"/>
      </patternFill>
    </fill>
    <fill>
      <patternFill patternType="solid">
        <fgColor rgb="000891B2"/>
      </patternFill>
    </fill>
    <fill>
      <patternFill patternType="solid">
        <fgColor rgb="00FFFFFF"/>
      </patternFill>
    </fill>
    <fill>
      <patternFill patternType="solid">
        <fgColor rgb="00DCFCE7"/>
      </patternFill>
    </fill>
    <fill>
      <patternFill patternType="solid">
        <fgColor rgb="00F8FAFC"/>
      </patternFill>
    </fill>
    <fill>
      <patternFill patternType="solid">
        <fgColor rgb="00FEF3C7"/>
      </patternFill>
    </fill>
    <fill>
      <patternFill patternType="solid">
        <fgColor rgb="00CCFBF1"/>
      </patternFill>
    </fill>
    <fill>
      <patternFill patternType="solid">
        <fgColor rgb="00E0F2FE"/>
      </patternFill>
    </fill>
    <fill>
      <patternFill patternType="solid">
        <fgColor rgb="00FEE2E2"/>
      </patternFill>
    </fill>
    <fill>
      <patternFill patternType="solid">
        <fgColor rgb="1E3A5FCC"/>
      </patternFill>
    </fill>
    <fill>
      <patternFill patternType="solid">
        <fgColor rgb="00F0FDFA"/>
      </patternFill>
    </fill>
    <fill>
      <patternFill patternType="solid">
        <fgColor rgb="0D9488CC"/>
      </patternFill>
    </fill>
    <fill>
      <patternFill patternType="solid">
        <fgColor rgb="0F766ECC"/>
      </patternFill>
    </fill>
    <fill>
      <patternFill patternType="solid">
        <fgColor rgb="C2410CCC"/>
      </patternFill>
    </fill>
    <fill>
      <patternFill patternType="solid">
        <fgColor rgb="16A34ACC"/>
      </patternFill>
    </fill>
    <fill>
      <patternFill patternType="solid">
        <fgColor rgb="002D6A4F"/>
      </patternFill>
    </fill>
    <fill>
      <patternFill patternType="solid">
        <fgColor rgb="00065F46"/>
      </patternFill>
    </fill>
    <fill>
      <patternFill patternType="solid">
        <fgColor rgb="065F46CC"/>
      </patternFill>
    </fill>
  </fills>
  <borders count="10">
    <border>
      <left/>
      <right/>
      <top/>
      <bottom/>
      <diagonal/>
    </border>
    <border>
      <bottom style="thin">
        <color rgb="00FFFFFF"/>
      </bottom>
    </border>
    <border>
      <left/>
      <right/>
      <top/>
      <bottom style="thin">
        <color rgb="00FFFFFF"/>
      </bottom>
      <diagonal/>
    </border>
    <border>
      <left style="thin">
        <color rgb="001E3A5F"/>
      </left>
      <right style="thin">
        <color rgb="001E3A5F"/>
      </right>
      <top style="thin">
        <color rgb="001E3A5F"/>
      </top>
      <bottom style="thin">
        <color rgb="001E3A5F"/>
      </bottom>
    </border>
    <border>
      <left style="thin">
        <color rgb="00E2E8F0"/>
      </left>
      <right style="thin">
        <color rgb="00E2E8F0"/>
      </right>
      <top style="thin">
        <color rgb="00E2E8F0"/>
      </top>
      <bottom style="thin">
        <color rgb="00E2E8F0"/>
      </bottom>
    </border>
    <border>
      <left style="thin">
        <color rgb="000D9488"/>
      </left>
      <right style="thin">
        <color rgb="000D9488"/>
      </right>
      <top style="thin">
        <color rgb="000D9488"/>
      </top>
      <bottom style="thin">
        <color rgb="000D9488"/>
      </bottom>
    </border>
    <border>
      <left style="thin">
        <color rgb="000F766E"/>
      </left>
      <right style="thin">
        <color rgb="000F766E"/>
      </right>
      <top style="thin">
        <color rgb="000F766E"/>
      </top>
      <bottom style="thin">
        <color rgb="000F766E"/>
      </bottom>
    </border>
    <border>
      <left style="thin">
        <color rgb="00C2410C"/>
      </left>
      <right style="thin">
        <color rgb="00C2410C"/>
      </right>
      <top style="thin">
        <color rgb="00C2410C"/>
      </top>
      <bottom style="thin">
        <color rgb="00C2410C"/>
      </bottom>
    </border>
    <border>
      <left style="thin">
        <color rgb="0016A34A"/>
      </left>
      <right style="thin">
        <color rgb="0016A34A"/>
      </right>
      <top style="thin">
        <color rgb="0016A34A"/>
      </top>
      <bottom style="thin">
        <color rgb="0016A34A"/>
      </bottom>
    </border>
    <border>
      <left style="thin">
        <color rgb="00065F46"/>
      </left>
      <right style="thin">
        <color rgb="00065F46"/>
      </right>
      <top style="thin">
        <color rgb="00065F46"/>
      </top>
      <bottom style="thin">
        <color rgb="00065F46"/>
      </bottom>
    </border>
  </borders>
  <cellStyleXfs count="1">
    <xf numFmtId="0" fontId="0" fillId="0" borderId="0"/>
  </cellStyleXfs>
  <cellXfs count="6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bottom" wrapText="1"/>
    </xf>
    <xf numFmtId="0" fontId="0" fillId="0" borderId="2" pivotButton="0" quotePrefix="0" xfId="0"/>
    <xf numFmtId="0" fontId="3" fillId="4" borderId="1" applyAlignment="1" pivotButton="0" quotePrefix="0" xfId="0">
      <alignment horizontal="center" vertical="bottom" wrapText="1"/>
    </xf>
    <xf numFmtId="0" fontId="3" fillId="2" borderId="1" applyAlignment="1" pivotButton="0" quotePrefix="0" xfId="0">
      <alignment horizontal="center" vertical="bottom" wrapText="1"/>
    </xf>
    <xf numFmtId="0" fontId="3" fillId="5" borderId="1" applyAlignment="1" pivotButton="0" quotePrefix="0" xfId="0">
      <alignment horizontal="center" vertical="bottom" wrapText="1"/>
    </xf>
    <xf numFmtId="0" fontId="3" fillId="6" borderId="1" applyAlignment="1" pivotButton="0" quotePrefix="0" xfId="0">
      <alignment horizontal="center" vertical="bottom" wrapText="1"/>
    </xf>
    <xf numFmtId="0" fontId="3" fillId="7" borderId="1" applyAlignment="1" pivotButton="0" quotePrefix="0" xfId="0">
      <alignment horizontal="center" vertical="bottom" wrapText="1"/>
    </xf>
    <xf numFmtId="0" fontId="3" fillId="8" borderId="1" applyAlignment="1" pivotButton="0" quotePrefix="0" xfId="0">
      <alignment horizontal="center" vertical="bottom" wrapText="1"/>
    </xf>
    <xf numFmtId="0" fontId="3" fillId="9" borderId="1" applyAlignment="1" pivotButton="0" quotePrefix="0" xfId="0">
      <alignment horizontal="center" vertical="bottom" wrapText="1"/>
    </xf>
    <xf numFmtId="0" fontId="4" fillId="3" borderId="0" applyAlignment="1" pivotButton="0" quotePrefix="0" xfId="0">
      <alignment horizontal="center" vertical="top"/>
    </xf>
    <xf numFmtId="0" fontId="4" fillId="4" borderId="0" applyAlignment="1" pivotButton="0" quotePrefix="0" xfId="0">
      <alignment horizontal="center" vertical="top"/>
    </xf>
    <xf numFmtId="0" fontId="4" fillId="2" borderId="0" applyAlignment="1" pivotButton="0" quotePrefix="0" xfId="0">
      <alignment horizontal="center" vertical="top"/>
    </xf>
    <xf numFmtId="0" fontId="4" fillId="5" borderId="0" applyAlignment="1" pivotButton="0" quotePrefix="0" xfId="0">
      <alignment horizontal="center" vertical="top"/>
    </xf>
    <xf numFmtId="0" fontId="4" fillId="6" borderId="0" applyAlignment="1" pivotButton="0" quotePrefix="0" xfId="0">
      <alignment horizontal="center" vertical="top"/>
    </xf>
    <xf numFmtId="0" fontId="4" fillId="7" borderId="0" applyAlignment="1" pivotButton="0" quotePrefix="0" xfId="0">
      <alignment horizontal="center" vertical="top"/>
    </xf>
    <xf numFmtId="164" fontId="4" fillId="8" borderId="0" applyAlignment="1" pivotButton="0" quotePrefix="0" xfId="0">
      <alignment horizontal="center" vertical="top"/>
    </xf>
    <xf numFmtId="165" fontId="4" fillId="9" borderId="0" applyAlignment="1" pivotButton="0" quotePrefix="0" xfId="0">
      <alignment horizontal="center" vertical="top"/>
    </xf>
    <xf numFmtId="0" fontId="5" fillId="2" borderId="0" applyAlignment="1" pivotButton="0" quotePrefix="0" xfId="0">
      <alignment horizontal="left" vertical="center"/>
    </xf>
    <xf numFmtId="0" fontId="6" fillId="3" borderId="3" applyAlignment="1" pivotButton="0" quotePrefix="0" xfId="0">
      <alignment horizontal="center" vertical="center" wrapText="1"/>
    </xf>
    <xf numFmtId="0" fontId="7" fillId="10" borderId="4" applyAlignment="1" pivotButton="0" quotePrefix="0" xfId="0">
      <alignment horizontal="center" vertical="center"/>
    </xf>
    <xf numFmtId="0" fontId="8" fillId="11" borderId="4" applyAlignment="1" pivotButton="0" quotePrefix="0" xfId="0">
      <alignment horizontal="center" vertical="center"/>
    </xf>
    <xf numFmtId="0" fontId="7" fillId="12" borderId="4" applyAlignment="1" pivotButton="0" quotePrefix="0" xfId="0">
      <alignment horizontal="center" vertical="center"/>
    </xf>
    <xf numFmtId="0" fontId="9" fillId="13" borderId="4" applyAlignment="1" pivotButton="0" quotePrefix="0" xfId="0">
      <alignment horizontal="center" vertical="center"/>
    </xf>
    <xf numFmtId="0" fontId="5" fillId="5" borderId="0" applyAlignment="1" pivotButton="0" quotePrefix="0" xfId="0">
      <alignment horizontal="left" vertical="center"/>
    </xf>
    <xf numFmtId="0" fontId="6" fillId="5" borderId="3" applyAlignment="1" pivotButton="0" quotePrefix="0" xfId="0">
      <alignment horizontal="center" vertical="center" wrapText="1"/>
    </xf>
    <xf numFmtId="164" fontId="7" fillId="10" borderId="4" applyAlignment="1" pivotButton="0" quotePrefix="0" xfId="0">
      <alignment horizontal="center" vertical="center"/>
    </xf>
    <xf numFmtId="164" fontId="7" fillId="12" borderId="4" applyAlignment="1" pivotButton="0" quotePrefix="0" xfId="0">
      <alignment horizontal="center" vertical="center"/>
    </xf>
    <xf numFmtId="0" fontId="10" fillId="14" borderId="4" applyAlignment="1" pivotButton="0" quotePrefix="0" xfId="0">
      <alignment horizontal="center" vertical="center"/>
    </xf>
    <xf numFmtId="164" fontId="10" fillId="14" borderId="4" applyAlignment="1" pivotButton="0" quotePrefix="0" xfId="0">
      <alignment horizontal="center" vertical="center"/>
    </xf>
    <xf numFmtId="0" fontId="11" fillId="2" borderId="0" applyAlignment="1" pivotButton="0" quotePrefix="0" xfId="0">
      <alignment horizontal="center" vertical="center"/>
    </xf>
    <xf numFmtId="0" fontId="7" fillId="15" borderId="0" applyAlignment="1" pivotButton="0" quotePrefix="0" xfId="0">
      <alignment horizontal="left" vertical="center"/>
    </xf>
    <xf numFmtId="0" fontId="7" fillId="12" borderId="4" applyAlignment="1" pivotButton="0" quotePrefix="0" xfId="0">
      <alignment horizontal="center" vertical="center" wrapText="1"/>
    </xf>
    <xf numFmtId="0" fontId="12" fillId="15" borderId="4" applyAlignment="1" pivotButton="0" quotePrefix="0" xfId="0">
      <alignment horizontal="center" vertical="center" wrapText="1"/>
    </xf>
    <xf numFmtId="0" fontId="7" fillId="10" borderId="4" applyAlignment="1" pivotButton="0" quotePrefix="0" xfId="0">
      <alignment horizontal="center" vertical="center" wrapText="1"/>
    </xf>
    <xf numFmtId="0" fontId="13" fillId="14" borderId="4" applyAlignment="1" pivotButton="0" quotePrefix="0" xfId="0">
      <alignment horizontal="center" vertical="center" wrapText="1"/>
    </xf>
    <xf numFmtId="0" fontId="14" fillId="16" borderId="4" applyAlignment="1" pivotButton="0" quotePrefix="0" xfId="0">
      <alignment horizontal="center" vertical="center" wrapText="1"/>
    </xf>
    <xf numFmtId="0" fontId="15" fillId="14" borderId="4" applyAlignment="1" pivotButton="0" quotePrefix="0" xfId="0">
      <alignment horizontal="center" vertical="center" wrapText="1"/>
    </xf>
    <xf numFmtId="0" fontId="10" fillId="12" borderId="4" applyAlignment="1" pivotButton="0" quotePrefix="0" xfId="0">
      <alignment horizontal="left" vertical="center"/>
    </xf>
    <xf numFmtId="0" fontId="16" fillId="2" borderId="0" applyAlignment="1" pivotButton="0" quotePrefix="0" xfId="0">
      <alignment horizontal="left" vertical="center"/>
    </xf>
    <xf numFmtId="0" fontId="6" fillId="2" borderId="3" applyAlignment="1" pivotButton="0" quotePrefix="0" xfId="0">
      <alignment horizontal="center" vertical="center" wrapText="1"/>
    </xf>
    <xf numFmtId="0" fontId="10" fillId="18" borderId="4" applyAlignment="1" pivotButton="0" quotePrefix="0" xfId="0">
      <alignment horizontal="center" vertical="center"/>
    </xf>
    <xf numFmtId="0" fontId="7" fillId="18" borderId="4" applyAlignment="1" pivotButton="0" quotePrefix="0" xfId="0">
      <alignment horizontal="left" vertical="center" wrapText="1"/>
    </xf>
    <xf numFmtId="0" fontId="7" fillId="18" borderId="4" applyAlignment="1" pivotButton="0" quotePrefix="0" xfId="0">
      <alignment horizontal="center" vertical="center"/>
    </xf>
    <xf numFmtId="0" fontId="10" fillId="10" borderId="4" applyAlignment="1" pivotButton="0" quotePrefix="0" xfId="0">
      <alignment horizontal="center" vertical="center"/>
    </xf>
    <xf numFmtId="0" fontId="7" fillId="10" borderId="4" applyAlignment="1" pivotButton="0" quotePrefix="0" xfId="0">
      <alignment horizontal="left" vertical="center" wrapText="1"/>
    </xf>
    <xf numFmtId="0" fontId="16" fillId="3" borderId="0" applyAlignment="1" pivotButton="0" quotePrefix="0" xfId="0">
      <alignment horizontal="left" vertical="center"/>
    </xf>
    <xf numFmtId="0" fontId="6" fillId="3" borderId="5" applyAlignment="1" pivotButton="0" quotePrefix="0" xfId="0">
      <alignment horizontal="center" vertical="center" wrapText="1"/>
    </xf>
    <xf numFmtId="0" fontId="16" fillId="4" borderId="0" applyAlignment="1" pivotButton="0" quotePrefix="0" xfId="0">
      <alignment horizontal="left" vertical="center"/>
    </xf>
    <xf numFmtId="0" fontId="6" fillId="4" borderId="6" applyAlignment="1" pivotButton="0" quotePrefix="0" xfId="0">
      <alignment horizontal="center" vertical="center" wrapText="1"/>
    </xf>
    <xf numFmtId="0" fontId="16" fillId="5" borderId="0" applyAlignment="1" pivotButton="0" quotePrefix="0" xfId="0">
      <alignment horizontal="left" vertical="center"/>
    </xf>
    <xf numFmtId="0" fontId="6" fillId="5" borderId="7" applyAlignment="1" pivotButton="0" quotePrefix="0" xfId="0">
      <alignment horizontal="center" vertical="center" wrapText="1"/>
    </xf>
    <xf numFmtId="0" fontId="16" fillId="6" borderId="0" applyAlignment="1" pivotButton="0" quotePrefix="0" xfId="0">
      <alignment horizontal="left" vertical="center"/>
    </xf>
    <xf numFmtId="0" fontId="6" fillId="23" borderId="8" applyAlignment="1" pivotButton="0" quotePrefix="0" xfId="0">
      <alignment horizontal="center" vertical="center" wrapText="1"/>
    </xf>
    <xf numFmtId="0" fontId="16" fillId="24" borderId="0" applyAlignment="1" pivotButton="0" quotePrefix="0" xfId="0">
      <alignment horizontal="left" vertical="center"/>
    </xf>
    <xf numFmtId="0" fontId="6" fillId="24" borderId="9" applyAlignment="1" pivotButton="0" quotePrefix="0" xfId="0">
      <alignment horizontal="center" vertical="center" wrapText="1"/>
    </xf>
    <xf numFmtId="0" fontId="10" fillId="12" borderId="4" pivotButton="0" quotePrefix="0" xfId="0"/>
    <xf numFmtId="0" fontId="13" fillId="14" borderId="4" pivotButton="0" quotePrefix="0" xfId="0"/>
    <xf numFmtId="164" fontId="13" fillId="14" borderId="4" pivotButton="0" quotePrefix="0" xfId="0"/>
    <xf numFmtId="0" fontId="10" fillId="18" borderId="4" applyAlignment="1" pivotButton="0" quotePrefix="0" xfId="0">
      <alignment horizontal="left" vertical="center" wrapText="1"/>
    </xf>
    <xf numFmtId="0" fontId="10" fillId="10" borderId="4" applyAlignment="1" pivotButton="0" quotePrefix="0" xfId="0">
      <alignment horizontal="left" vertical="center" wrapText="1"/>
    </xf>
    <xf numFmtId="0" fontId="6" fillId="2" borderId="0" applyAlignment="1" pivotButton="0" quotePrefix="0" xfId="0">
      <alignment horizontal="left" vertical="center"/>
    </xf>
    <xf numFmtId="0" fontId="12" fillId="12" borderId="4" pivotButton="0" quotePrefix="0" xfId="0"/>
    <xf numFmtId="0" fontId="10" fillId="14" borderId="4" applyAlignment="1" pivotButton="0" quotePrefix="0" xfId="0">
      <alignment horizontal="left" vertical="center"/>
    </xf>
    <xf numFmtId="0" fontId="12" fillId="12" borderId="4" applyAlignment="1" pivotButton="0" quotePrefix="0" xfId="0">
      <alignment horizontal="center" vertical="top" wrapText="1"/>
    </xf>
    <xf numFmtId="0" fontId="7" fillId="0" borderId="4" applyAlignment="1" pivotButton="0" quotePrefix="0" xfId="0">
      <alignment horizontal="left" vertical="top" wrapText="1"/>
    </xf>
    <xf numFmtId="0" fontId="16" fillId="7"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R23"/>
  <sheetViews>
    <sheetView showGridLines="0" workbookViewId="0">
      <pane ySplit="3" topLeftCell="A4" activePane="bottomLeft" state="frozen"/>
      <selection pane="bottomLeft" activeCell="A1" sqref="A1"/>
    </sheetView>
  </sheetViews>
  <sheetFormatPr baseColWidth="8" defaultRowHeight="15"/>
  <cols>
    <col width="1.5" customWidth="1" min="1" max="1"/>
    <col width="22" customWidth="1" min="2" max="2"/>
    <col width="14" customWidth="1" min="3" max="3"/>
    <col width="32" customWidth="1" min="4" max="4"/>
    <col width="16" customWidth="1" min="5" max="5"/>
    <col width="10" customWidth="1" min="6" max="6"/>
    <col width="10" customWidth="1" min="7" max="7"/>
    <col width="12" customWidth="1" min="8" max="8"/>
    <col width="13" customWidth="1" min="9" max="9"/>
    <col width="10" customWidth="1" min="10" max="10"/>
    <col width="8" customWidth="1" min="11" max="11"/>
    <col width="9" customWidth="1" min="12" max="12"/>
    <col width="9" customWidth="1" min="13" max="13"/>
    <col width="14" customWidth="1" min="14" max="14"/>
    <col width="13" customWidth="1" min="15" max="15"/>
    <col width="12" customWidth="1" min="16" max="16"/>
    <col width="18" customWidth="1" min="17" max="17"/>
    <col width="1.5" customWidth="1" min="18" max="18"/>
  </cols>
  <sheetData>
    <row r="1" ht="34" customHeight="1">
      <c r="A1" s="1" t="inlineStr">
        <is>
          <t>PT ARUNIKA GROWTH INDONESIA — RECRUITMENT DASHBOARD  |  2026</t>
        </is>
      </c>
    </row>
    <row r="2" ht="18" customHeight="1">
      <c r="A2" s="2" t="inlineStr">
        <is>
          <t>Human Resources Division  |  Customer Experience &amp; Digital Service Startup  |  Jakarta</t>
        </is>
      </c>
    </row>
    <row r="3" ht="8" customHeight="1"/>
    <row r="4" ht="26" customHeight="1">
      <c r="B4" s="3" t="inlineStr">
        <is>
          <t>OPEN
POSITION</t>
        </is>
      </c>
      <c r="C4" s="4" t="n"/>
      <c r="D4" s="5" t="inlineStr">
        <is>
          <t>TOTAL
KANDIDAT</t>
        </is>
      </c>
      <c r="E4" s="4" t="n"/>
      <c r="F4" s="6" t="inlineStr">
        <is>
          <t>ON PROCESS
(Interview)</t>
        </is>
      </c>
      <c r="G4" s="4" t="n"/>
      <c r="H4" s="7" t="inlineStr">
        <is>
          <t>OFFERING
STAGE</t>
        </is>
      </c>
      <c r="I4" s="4" t="n"/>
      <c r="J4" s="8" t="inlineStr">
        <is>
          <t>HIRED
BULAN INI</t>
        </is>
      </c>
      <c r="K4" s="4" t="n"/>
      <c r="L4" s="9" t="inlineStr">
        <is>
          <t>REJECTED
/ WITHDRAW</t>
        </is>
      </c>
      <c r="M4" s="4" t="n"/>
      <c r="N4" s="10" t="inlineStr">
        <is>
          <t>CONVERSION
RATE</t>
        </is>
      </c>
      <c r="O4" s="4" t="n"/>
      <c r="P4" s="11" t="inlineStr">
        <is>
          <t>AVG TIME
TO HIRE (hr)</t>
        </is>
      </c>
      <c r="Q4" s="4" t="n"/>
    </row>
    <row r="5" ht="38" customHeight="1">
      <c r="B5" s="12">
        <f>COUNTIF('Pipeline Rekrutmen'!E:E,"Open")</f>
        <v/>
      </c>
      <c r="D5" s="13">
        <f>COUNTA('Pipeline Rekrutmen'!A4:A200)-1</f>
        <v/>
      </c>
      <c r="F5" s="14">
        <f>COUNTIF('Pipeline Rekrutmen'!H:H,"Interview User")+COUNTIF('Pipeline Rekrutmen'!H:H,"Interview HR")</f>
        <v/>
      </c>
      <c r="H5" s="15">
        <f>COUNTIF('Pipeline Rekrutmen'!H:H,"Offering")</f>
        <v/>
      </c>
      <c r="J5" s="16">
        <f>COUNTIF('Pipeline Rekrutmen'!H:H,"Hired")</f>
        <v/>
      </c>
      <c r="L5" s="17">
        <f>COUNTIF('Pipeline Rekrutmen'!H:H,"Rejected")+COUNTIF('Pipeline Rekrutmen'!H:H,"Withdraw")</f>
        <v/>
      </c>
      <c r="N5" s="18">
        <f>IFERROR(COUNTIF('Pipeline Rekrutmen'!H:H,"Hired")/(COUNTA('Pipeline Rekrutmen'!A4:A200)-1),0)</f>
        <v/>
      </c>
      <c r="P5" s="19">
        <f>IFERROR(AVERAGE('Pipeline Rekrutmen'!P4:P200),0)</f>
        <v/>
      </c>
    </row>
    <row r="6" ht="8" customHeight="1"/>
    <row r="7" ht="24" customHeight="1">
      <c r="B7" s="20" t="inlineStr">
        <is>
          <t xml:space="preserve">  ▌  PIPELINE REKRUTMEN PER POSISI</t>
        </is>
      </c>
    </row>
    <row r="8" ht="30" customHeight="1">
      <c r="B8" s="21" t="inlineStr">
        <is>
          <t>POSISI</t>
        </is>
      </c>
      <c r="C8" s="21" t="inlineStr">
        <is>
          <t>DIVISI</t>
        </is>
      </c>
      <c r="D8" s="21" t="inlineStr">
        <is>
          <t>PIC HR</t>
        </is>
      </c>
      <c r="E8" s="21" t="inlineStr">
        <is>
          <t>STATUS MPR</t>
        </is>
      </c>
      <c r="F8" s="21" t="inlineStr">
        <is>
          <t>SOURCING</t>
        </is>
      </c>
      <c r="G8" s="21" t="inlineStr">
        <is>
          <t>SCREENING</t>
        </is>
      </c>
      <c r="H8" s="21" t="inlineStr">
        <is>
          <t>INTERVIEW HR</t>
        </is>
      </c>
      <c r="I8" s="21" t="inlineStr">
        <is>
          <t>INTERVIEW USER</t>
        </is>
      </c>
      <c r="J8" s="21" t="inlineStr">
        <is>
          <t>OFFERING</t>
        </is>
      </c>
      <c r="K8" s="21" t="inlineStr">
        <is>
          <t>HIRED</t>
        </is>
      </c>
      <c r="L8" s="21" t="inlineStr">
        <is>
          <t>REJECTED</t>
        </is>
      </c>
      <c r="M8" s="21" t="inlineStr">
        <is>
          <t>WITHDRAW</t>
        </is>
      </c>
      <c r="N8" s="21" t="inlineStr">
        <is>
          <t>TOTAL KANDIDAT</t>
        </is>
      </c>
      <c r="O8" s="21" t="inlineStr">
        <is>
          <t>TARGET JOIN</t>
        </is>
      </c>
      <c r="P8" s="21" t="inlineStr">
        <is>
          <t>SLA TERSISA</t>
        </is>
      </c>
      <c r="Q8" s="21" t="inlineStr">
        <is>
          <t>KETERANGAN</t>
        </is>
      </c>
    </row>
    <row r="9" ht="18" customHeight="1">
      <c r="B9" s="22" t="inlineStr">
        <is>
          <t>HR Staff</t>
        </is>
      </c>
      <c r="C9" s="22" t="inlineStr">
        <is>
          <t>Human Resources</t>
        </is>
      </c>
      <c r="D9" s="22" t="inlineStr">
        <is>
          <t>Nadira PA</t>
        </is>
      </c>
      <c r="E9" s="23" t="inlineStr">
        <is>
          <t>Open</t>
        </is>
      </c>
      <c r="F9" s="22" t="n">
        <v>3</v>
      </c>
      <c r="G9" s="22" t="n">
        <v>2</v>
      </c>
      <c r="H9" s="22" t="n">
        <v>1</v>
      </c>
      <c r="I9" s="22" t="n">
        <v>0</v>
      </c>
      <c r="J9" s="22" t="n">
        <v>0</v>
      </c>
      <c r="K9" s="22" t="n">
        <v>0</v>
      </c>
      <c r="L9" s="22" t="n">
        <v>0</v>
      </c>
      <c r="M9" s="22" t="n">
        <v>3</v>
      </c>
      <c r="N9" s="22" t="inlineStr">
        <is>
          <t>01 Jun 2026</t>
        </is>
      </c>
      <c r="O9" s="22" t="n">
        <v>25</v>
      </c>
      <c r="P9" s="22" t="inlineStr"/>
    </row>
    <row r="10" ht="18" customHeight="1">
      <c r="B10" s="24" t="inlineStr">
        <is>
          <t>CX Agent</t>
        </is>
      </c>
      <c r="C10" s="24" t="inlineStr">
        <is>
          <t>Customer Experience</t>
        </is>
      </c>
      <c r="D10" s="24" t="inlineStr">
        <is>
          <t>Nadira PA</t>
        </is>
      </c>
      <c r="E10" s="23" t="inlineStr">
        <is>
          <t>Open</t>
        </is>
      </c>
      <c r="F10" s="24" t="n">
        <v>15</v>
      </c>
      <c r="G10" s="24" t="n">
        <v>8</v>
      </c>
      <c r="H10" s="24" t="n">
        <v>4</v>
      </c>
      <c r="I10" s="24" t="n">
        <v>2</v>
      </c>
      <c r="J10" s="24" t="n">
        <v>1</v>
      </c>
      <c r="K10" s="24" t="n">
        <v>0</v>
      </c>
      <c r="L10" s="24" t="n">
        <v>3</v>
      </c>
      <c r="M10" s="24" t="n">
        <v>15</v>
      </c>
      <c r="N10" s="24" t="inlineStr">
        <is>
          <t>15 May 2026</t>
        </is>
      </c>
      <c r="O10" s="24" t="n">
        <v>10</v>
      </c>
      <c r="P10" s="24" t="inlineStr">
        <is>
          <t>1 kandidat strong</t>
        </is>
      </c>
    </row>
    <row r="11" ht="18" customHeight="1">
      <c r="B11" s="22" t="inlineStr">
        <is>
          <t>Backend Dev</t>
        </is>
      </c>
      <c r="C11" s="22" t="inlineStr">
        <is>
          <t>Engineering</t>
        </is>
      </c>
      <c r="D11" s="22" t="inlineStr">
        <is>
          <t>Nadira PA</t>
        </is>
      </c>
      <c r="E11" s="23" t="inlineStr">
        <is>
          <t>Open</t>
        </is>
      </c>
      <c r="F11" s="22" t="n">
        <v>20</v>
      </c>
      <c r="G11" s="22" t="n">
        <v>10</v>
      </c>
      <c r="H11" s="22" t="n">
        <v>5</v>
      </c>
      <c r="I11" s="22" t="n">
        <v>3</v>
      </c>
      <c r="J11" s="22" t="n">
        <v>1</v>
      </c>
      <c r="K11" s="22" t="n">
        <v>1</v>
      </c>
      <c r="L11" s="22" t="n">
        <v>5</v>
      </c>
      <c r="M11" s="22" t="n">
        <v>20</v>
      </c>
      <c r="N11" s="22" t="inlineStr">
        <is>
          <t>01 Jun 2026</t>
        </is>
      </c>
      <c r="O11" s="22" t="n">
        <v>20</v>
      </c>
      <c r="P11" s="22" t="inlineStr">
        <is>
          <t>Technical test done</t>
        </is>
      </c>
    </row>
    <row r="12" ht="18" customHeight="1">
      <c r="B12" s="24" t="inlineStr">
        <is>
          <t>Data Analyst</t>
        </is>
      </c>
      <c r="C12" s="24" t="inlineStr">
        <is>
          <t>Data &amp; Insight</t>
        </is>
      </c>
      <c r="D12" s="24" t="inlineStr">
        <is>
          <t>Nadira PA</t>
        </is>
      </c>
      <c r="E12" s="25" t="inlineStr">
        <is>
          <t>Hold</t>
        </is>
      </c>
      <c r="F12" s="24" t="n">
        <v>8</v>
      </c>
      <c r="G12" s="24" t="n">
        <v>3</v>
      </c>
      <c r="H12" s="24" t="n">
        <v>1</v>
      </c>
      <c r="I12" s="24" t="n">
        <v>0</v>
      </c>
      <c r="J12" s="24" t="n">
        <v>0</v>
      </c>
      <c r="K12" s="24" t="n">
        <v>0</v>
      </c>
      <c r="L12" s="24" t="n">
        <v>2</v>
      </c>
      <c r="M12" s="24" t="n">
        <v>8</v>
      </c>
      <c r="N12" s="24" t="inlineStr">
        <is>
          <t>01 Jul 2026</t>
        </is>
      </c>
      <c r="O12" s="24" t="n">
        <v>45</v>
      </c>
      <c r="P12" s="24" t="inlineStr">
        <is>
          <t>Budget review</t>
        </is>
      </c>
    </row>
    <row r="13" ht="18" customHeight="1">
      <c r="B13" s="22" t="inlineStr">
        <is>
          <t>Marketing Lead</t>
        </is>
      </c>
      <c r="C13" s="22" t="inlineStr">
        <is>
          <t>Marketing</t>
        </is>
      </c>
      <c r="D13" s="22" t="inlineStr">
        <is>
          <t>Nadira PA</t>
        </is>
      </c>
      <c r="E13" s="23" t="inlineStr">
        <is>
          <t>Open</t>
        </is>
      </c>
      <c r="F13" s="22" t="n">
        <v>12</v>
      </c>
      <c r="G13" s="22" t="n">
        <v>6</v>
      </c>
      <c r="H13" s="22" t="n">
        <v>3</v>
      </c>
      <c r="I13" s="22" t="n">
        <v>2</v>
      </c>
      <c r="J13" s="22" t="n">
        <v>1</v>
      </c>
      <c r="K13" s="22" t="n">
        <v>0</v>
      </c>
      <c r="L13" s="22" t="n">
        <v>2</v>
      </c>
      <c r="M13" s="22" t="n">
        <v>12</v>
      </c>
      <c r="N13" s="22" t="inlineStr">
        <is>
          <t>15 May 2026</t>
        </is>
      </c>
      <c r="O13" s="22" t="n">
        <v>8</v>
      </c>
      <c r="P13" s="22" t="inlineStr">
        <is>
          <t>Urgent</t>
        </is>
      </c>
    </row>
    <row r="15" ht="12" customHeight="1"/>
    <row r="16" ht="24" customHeight="1">
      <c r="B16" s="26" t="inlineStr">
        <is>
          <t xml:space="preserve">  ▌  RECRUITMENT FUNNEL TRACKER — AKUMULASI SEMUA POSISI AKTIF</t>
        </is>
      </c>
    </row>
    <row r="17" ht="22" customHeight="1">
      <c r="B17" s="27" t="inlineStr">
        <is>
          <t>TAHAP</t>
        </is>
      </c>
      <c r="C17" s="27" t="inlineStr">
        <is>
          <t>JML KANDIDAT</t>
        </is>
      </c>
      <c r="D17" s="27" t="inlineStr">
        <is>
          <t>KONVERSI KE TAHAP BERIKUTNYA</t>
        </is>
      </c>
      <c r="E17" s="27" t="inlineStr">
        <is>
          <t>BENCHMARK</t>
        </is>
      </c>
    </row>
    <row r="18" ht="18" customHeight="1">
      <c r="B18" s="24" t="inlineStr">
        <is>
          <t>Sumber / Sourcing</t>
        </is>
      </c>
      <c r="C18" s="24">
        <f>SUM('Pipeline Rekrutmen'!F4:F200)</f>
        <v/>
      </c>
      <c r="D18" s="24" t="inlineStr">
        <is>
          <t>100% (base)</t>
        </is>
      </c>
      <c r="E18" s="24" t="inlineStr">
        <is>
          <t>—</t>
        </is>
      </c>
    </row>
    <row r="19" ht="18" customHeight="1">
      <c r="B19" s="22" t="inlineStr">
        <is>
          <t>Lolos Screening CV</t>
        </is>
      </c>
      <c r="C19" s="22">
        <f>SUM('Pipeline Rekrutmen'!G4:G200)</f>
        <v/>
      </c>
      <c r="D19" s="28">
        <f>IFERROR(SUM('Pipeline Rekrutmen'!G4:G200)/SUM('Pipeline Rekrutmen'!F4:F200),0)</f>
        <v/>
      </c>
      <c r="E19" s="22" t="inlineStr">
        <is>
          <t>40-60%</t>
        </is>
      </c>
    </row>
    <row r="20" ht="18" customHeight="1">
      <c r="B20" s="24" t="inlineStr">
        <is>
          <t>Interview HR</t>
        </is>
      </c>
      <c r="C20" s="24">
        <f>SUM('Pipeline Rekrutmen'!H4:H200)+COUNTIF('Pipeline Rekrutmen'!H:H,"Interview HR")</f>
        <v/>
      </c>
      <c r="D20" s="29">
        <f>IFERROR(COUNTIF('Pipeline Rekrutmen'!H:H,"Interview HR")/SUM('Pipeline Rekrutmen'!G4:G200),0)</f>
        <v/>
      </c>
      <c r="E20" s="24" t="inlineStr">
        <is>
          <t>60-80%</t>
        </is>
      </c>
    </row>
    <row r="21" ht="18" customHeight="1">
      <c r="B21" s="22" t="inlineStr">
        <is>
          <t>Interview User/Tech</t>
        </is>
      </c>
      <c r="C21" s="22">
        <f>COUNTIF('Pipeline Rekrutmen'!H:H,"Interview User")</f>
        <v/>
      </c>
      <c r="D21" s="28">
        <f>IFERROR(COUNTIF('Pipeline Rekrutmen'!H:H,"Interview User")/COUNTIF('Pipeline Rekrutmen'!H:H,"Interview HR"),0)</f>
        <v/>
      </c>
      <c r="E21" s="22" t="inlineStr">
        <is>
          <t>50-70%</t>
        </is>
      </c>
    </row>
    <row r="22" ht="18" customHeight="1">
      <c r="B22" s="24" t="inlineStr">
        <is>
          <t>Offering Stage</t>
        </is>
      </c>
      <c r="C22" s="24">
        <f>COUNTIF('Pipeline Rekrutmen'!H:H,"Offering")</f>
        <v/>
      </c>
      <c r="D22" s="29">
        <f>IFERROR(COUNTIF('Pipeline Rekrutmen'!H:H,"Offering")/COUNTIF('Pipeline Rekrutmen'!H:H,"Interview User"),0)</f>
        <v/>
      </c>
      <c r="E22" s="24" t="inlineStr">
        <is>
          <t>70-90%</t>
        </is>
      </c>
    </row>
    <row r="23" ht="18" customHeight="1">
      <c r="B23" s="30" t="inlineStr">
        <is>
          <t>HIRED</t>
        </is>
      </c>
      <c r="C23" s="30">
        <f>COUNTIF('Pipeline Rekrutmen'!H:H,"Hired")</f>
        <v/>
      </c>
      <c r="D23" s="31">
        <f>IFERROR(COUNTIF('Pipeline Rekrutmen'!H:H,"Hired")/COUNTIF('Pipeline Rekrutmen'!H:H,"Offering"),0)</f>
        <v/>
      </c>
      <c r="E23" s="30" t="inlineStr">
        <is>
          <t>80-95%</t>
        </is>
      </c>
    </row>
  </sheetData>
  <mergeCells count="20">
    <mergeCell ref="F4:G4"/>
    <mergeCell ref="P4:Q4"/>
    <mergeCell ref="J5:K5"/>
    <mergeCell ref="H4:I4"/>
    <mergeCell ref="A2:R2"/>
    <mergeCell ref="F5:G5"/>
    <mergeCell ref="L5:M5"/>
    <mergeCell ref="N5:O5"/>
    <mergeCell ref="B16:Q16"/>
    <mergeCell ref="B7:Q7"/>
    <mergeCell ref="J4:K4"/>
    <mergeCell ref="L4:M4"/>
    <mergeCell ref="D4:E4"/>
    <mergeCell ref="B5:C5"/>
    <mergeCell ref="D5:E5"/>
    <mergeCell ref="H5:I5"/>
    <mergeCell ref="A1:R1"/>
    <mergeCell ref="P5:Q5"/>
    <mergeCell ref="B4:C4"/>
    <mergeCell ref="N4:O4"/>
  </mergeCells>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T9"/>
  <sheetViews>
    <sheetView showGridLines="0" workbookViewId="0">
      <pane ySplit="3" topLeftCell="A4" activePane="bottomLeft" state="frozen"/>
      <selection pane="bottomLeft" activeCell="A1" sqref="A1"/>
    </sheetView>
  </sheetViews>
  <sheetFormatPr baseColWidth="8" defaultRowHeight="15"/>
  <cols>
    <col width="4" customWidth="1" min="1" max="1"/>
    <col width="12" customWidth="1" min="2" max="2"/>
    <col width="20" customWidth="1" min="3" max="3"/>
    <col width="16" customWidth="1" min="4" max="4"/>
    <col width="14" customWidth="1" min="5" max="5"/>
    <col width="16" customWidth="1" min="6" max="6"/>
    <col width="16" customWidth="1" min="7" max="7"/>
    <col width="18" customWidth="1" min="8" max="8"/>
    <col width="22" customWidth="1" min="9" max="9"/>
    <col width="15" customWidth="1" min="10" max="10"/>
    <col width="22" customWidth="1" min="11" max="11"/>
    <col width="14" customWidth="1" min="12" max="12"/>
    <col width="16" customWidth="1" min="13" max="13"/>
    <col width="17" customWidth="1" min="14" max="14"/>
    <col width="13" customWidth="1" min="15" max="15"/>
    <col width="18" customWidth="1" min="16" max="16"/>
    <col width="16" customWidth="1" min="17" max="17"/>
    <col width="16" customWidth="1" min="18" max="18"/>
    <col width="14" customWidth="1" min="19" max="19"/>
    <col width="22" customWidth="1" min="20" max="20"/>
  </cols>
  <sheetData>
    <row r="1" ht="30" customHeight="1">
      <c r="A1" s="32" t="inlineStr">
        <is>
          <t>RECRUITMENT PIPELINE TRACKER — PT ARUNIKA GROWTH INDONESIA</t>
        </is>
      </c>
    </row>
    <row r="2" ht="18" customHeight="1">
      <c r="A2" s="33" t="inlineStr">
        <is>
          <t>Gunakan sheet ini sebagai database utama tracking kandidat. Update status setiap ada perkembangan.</t>
        </is>
      </c>
    </row>
    <row r="3" ht="8" customHeight="1"/>
    <row r="4" ht="30" customHeight="1">
      <c r="A4" s="21" t="inlineStr">
        <is>
          <t>NO</t>
        </is>
      </c>
      <c r="B4" s="21" t="inlineStr">
        <is>
          <t>NO MPR</t>
        </is>
      </c>
      <c r="C4" s="21" t="inlineStr">
        <is>
          <t>POSISI</t>
        </is>
      </c>
      <c r="D4" s="21" t="inlineStr">
        <is>
          <t>DIVISI</t>
        </is>
      </c>
      <c r="E4" s="21" t="inlineStr">
        <is>
          <t>STATUS MPR</t>
        </is>
      </c>
      <c r="F4" s="21" t="inlineStr">
        <is>
          <t>TOTAL SOURCING</t>
        </is>
      </c>
      <c r="G4" s="21" t="inlineStr">
        <is>
          <t>LOLOS SCREENING</t>
        </is>
      </c>
      <c r="H4" s="21" t="inlineStr">
        <is>
          <t>STAGE SAAT INI</t>
        </is>
      </c>
      <c r="I4" s="21" t="inlineStr">
        <is>
          <t>NAMA KANDIDAT</t>
        </is>
      </c>
      <c r="J4" s="21" t="inlineStr">
        <is>
          <t>NO HP</t>
        </is>
      </c>
      <c r="K4" s="21" t="inlineStr">
        <is>
          <t>EMAIL</t>
        </is>
      </c>
      <c r="L4" s="21" t="inlineStr">
        <is>
          <t>TGL SCREENING</t>
        </is>
      </c>
      <c r="M4" s="21" t="inlineStr">
        <is>
          <t>TGL INTERVIEW HR</t>
        </is>
      </c>
      <c r="N4" s="21" t="inlineStr">
        <is>
          <t>TGL INTERVIEW USER</t>
        </is>
      </c>
      <c r="O4" s="21" t="inlineStr">
        <is>
          <t>TGL OFFERING</t>
        </is>
      </c>
      <c r="P4" s="21" t="inlineStr">
        <is>
          <t>TIME TO HIRE (HARI)</t>
        </is>
      </c>
      <c r="Q4" s="21" t="inlineStr">
        <is>
          <t>EXP GAJI (Rp)</t>
        </is>
      </c>
      <c r="R4" s="21" t="inlineStr">
        <is>
          <t>OFFER GAJI (Rp)</t>
        </is>
      </c>
      <c r="S4" s="21" t="inlineStr">
        <is>
          <t>STATUS AKHIR</t>
        </is>
      </c>
      <c r="T4" s="21" t="inlineStr">
        <is>
          <t>CATATAN</t>
        </is>
      </c>
    </row>
    <row r="5" ht="20" customHeight="1">
      <c r="A5" s="34" t="n">
        <v>1</v>
      </c>
      <c r="B5" s="34" t="inlineStr">
        <is>
          <t>ARK/MPR/001</t>
        </is>
      </c>
      <c r="C5" s="34" t="inlineStr">
        <is>
          <t>CX Agent</t>
        </is>
      </c>
      <c r="D5" s="34" t="inlineStr">
        <is>
          <t>Customer Experience</t>
        </is>
      </c>
      <c r="E5" s="34" t="inlineStr">
        <is>
          <t>Open</t>
        </is>
      </c>
      <c r="F5" s="34" t="n">
        <v>15</v>
      </c>
      <c r="G5" s="34" t="n">
        <v>8</v>
      </c>
      <c r="H5" s="35" t="inlineStr">
        <is>
          <t>Interview User</t>
        </is>
      </c>
      <c r="I5" s="34" t="inlineStr">
        <is>
          <t>Andi Pratama</t>
        </is>
      </c>
      <c r="J5" s="34" t="inlineStr">
        <is>
          <t>081200001111</t>
        </is>
      </c>
      <c r="K5" s="34" t="inlineStr">
        <is>
          <t>andi@email.com</t>
        </is>
      </c>
      <c r="L5" s="34" t="inlineStr">
        <is>
          <t>01/04/26</t>
        </is>
      </c>
      <c r="M5" s="34" t="inlineStr">
        <is>
          <t>05/04/26</t>
        </is>
      </c>
      <c r="N5" s="34" t="inlineStr">
        <is>
          <t>10/04/26</t>
        </is>
      </c>
      <c r="O5" s="34" t="inlineStr"/>
      <c r="P5" s="34" t="inlineStr"/>
      <c r="Q5" s="34" t="inlineStr">
        <is>
          <t>4500000</t>
        </is>
      </c>
      <c r="R5" s="34" t="inlineStr">
        <is>
          <t>5000000</t>
        </is>
      </c>
      <c r="S5" s="34" t="inlineStr">
        <is>
          <t>On Process</t>
        </is>
      </c>
      <c r="T5" s="34" t="inlineStr">
        <is>
          <t>Strong candidate</t>
        </is>
      </c>
    </row>
    <row r="6" ht="20" customHeight="1">
      <c r="A6" s="36" t="n">
        <v>2</v>
      </c>
      <c r="B6" s="36" t="inlineStr">
        <is>
          <t>ARK/MPR/001</t>
        </is>
      </c>
      <c r="C6" s="36" t="inlineStr">
        <is>
          <t>CX Agent</t>
        </is>
      </c>
      <c r="D6" s="36" t="inlineStr">
        <is>
          <t>Customer Experience</t>
        </is>
      </c>
      <c r="E6" s="36" t="inlineStr">
        <is>
          <t>Open</t>
        </is>
      </c>
      <c r="F6" s="36" t="n">
        <v>15</v>
      </c>
      <c r="G6" s="36" t="n">
        <v>8</v>
      </c>
      <c r="H6" s="37" t="inlineStr">
        <is>
          <t>Offering</t>
        </is>
      </c>
      <c r="I6" s="36" t="inlineStr">
        <is>
          <t>Rina Sari</t>
        </is>
      </c>
      <c r="J6" s="36" t="inlineStr">
        <is>
          <t>081200002222</t>
        </is>
      </c>
      <c r="K6" s="36" t="inlineStr">
        <is>
          <t>rina@email.com</t>
        </is>
      </c>
      <c r="L6" s="36" t="inlineStr">
        <is>
          <t>01/04/26</t>
        </is>
      </c>
      <c r="M6" s="36" t="inlineStr">
        <is>
          <t>05/04/26</t>
        </is>
      </c>
      <c r="N6" s="36" t="inlineStr">
        <is>
          <t>10/04/26</t>
        </is>
      </c>
      <c r="O6" s="36" t="inlineStr">
        <is>
          <t>15/04/26</t>
        </is>
      </c>
      <c r="P6" s="36" t="inlineStr">
        <is>
          <t>18</t>
        </is>
      </c>
      <c r="Q6" s="36" t="inlineStr">
        <is>
          <t>5000000</t>
        </is>
      </c>
      <c r="R6" s="36" t="inlineStr">
        <is>
          <t>5500000</t>
        </is>
      </c>
      <c r="S6" s="36" t="inlineStr">
        <is>
          <t>Offering</t>
        </is>
      </c>
      <c r="T6" s="36" t="inlineStr">
        <is>
          <t>Verbal: setuju</t>
        </is>
      </c>
    </row>
    <row r="7" ht="20" customHeight="1">
      <c r="A7" s="34" t="n">
        <v>3</v>
      </c>
      <c r="B7" s="34" t="inlineStr">
        <is>
          <t>ARK/MPR/001</t>
        </is>
      </c>
      <c r="C7" s="34" t="inlineStr">
        <is>
          <t>CX Agent</t>
        </is>
      </c>
      <c r="D7" s="34" t="inlineStr">
        <is>
          <t>Customer Experience</t>
        </is>
      </c>
      <c r="E7" s="34" t="inlineStr">
        <is>
          <t>Open</t>
        </is>
      </c>
      <c r="F7" s="34" t="n">
        <v>15</v>
      </c>
      <c r="G7" s="34" t="n">
        <v>8</v>
      </c>
      <c r="H7" s="38" t="inlineStr">
        <is>
          <t>Rejected</t>
        </is>
      </c>
      <c r="I7" s="34" t="inlineStr">
        <is>
          <t>Budi Hartono</t>
        </is>
      </c>
      <c r="J7" s="34" t="inlineStr">
        <is>
          <t>081200003333</t>
        </is>
      </c>
      <c r="K7" s="34" t="inlineStr">
        <is>
          <t>budi@email.com</t>
        </is>
      </c>
      <c r="L7" s="34" t="inlineStr">
        <is>
          <t>01/04/26</t>
        </is>
      </c>
      <c r="M7" s="34" t="inlineStr"/>
      <c r="N7" s="34" t="inlineStr"/>
      <c r="O7" s="34" t="inlineStr"/>
      <c r="P7" s="34" t="inlineStr"/>
      <c r="Q7" s="34" t="inlineStr">
        <is>
          <t>3800000</t>
        </is>
      </c>
      <c r="R7" s="34" t="inlineStr"/>
      <c r="S7" s="34" t="inlineStr">
        <is>
          <t>Rejected</t>
        </is>
      </c>
      <c r="T7" s="34" t="inlineStr">
        <is>
          <t>Exp gaji tidak sesuai</t>
        </is>
      </c>
    </row>
    <row r="8" ht="20" customHeight="1">
      <c r="A8" s="36" t="n">
        <v>4</v>
      </c>
      <c r="B8" s="36" t="inlineStr">
        <is>
          <t>ARK/MPR/002</t>
        </is>
      </c>
      <c r="C8" s="36" t="inlineStr">
        <is>
          <t>Backend Dev</t>
        </is>
      </c>
      <c r="D8" s="36" t="inlineStr">
        <is>
          <t>Engineering</t>
        </is>
      </c>
      <c r="E8" s="36" t="inlineStr">
        <is>
          <t>Open</t>
        </is>
      </c>
      <c r="F8" s="36" t="n">
        <v>20</v>
      </c>
      <c r="G8" s="36" t="n">
        <v>10</v>
      </c>
      <c r="H8" s="39" t="inlineStr">
        <is>
          <t>Interview Final</t>
        </is>
      </c>
      <c r="I8" s="36" t="inlineStr">
        <is>
          <t>Citra Dewi</t>
        </is>
      </c>
      <c r="J8" s="36" t="inlineStr">
        <is>
          <t>081200004444</t>
        </is>
      </c>
      <c r="K8" s="36" t="inlineStr">
        <is>
          <t>citra@email.com</t>
        </is>
      </c>
      <c r="L8" s="36" t="inlineStr">
        <is>
          <t>03/04/26</t>
        </is>
      </c>
      <c r="M8" s="36" t="inlineStr">
        <is>
          <t>08/04/26</t>
        </is>
      </c>
      <c r="N8" s="36" t="inlineStr">
        <is>
          <t>12/04/26</t>
        </is>
      </c>
      <c r="O8" s="36" t="inlineStr"/>
      <c r="P8" s="36" t="inlineStr"/>
      <c r="Q8" s="36" t="inlineStr">
        <is>
          <t>8000000</t>
        </is>
      </c>
      <c r="R8" s="36" t="inlineStr">
        <is>
          <t>8500000</t>
        </is>
      </c>
      <c r="S8" s="36" t="inlineStr">
        <is>
          <t>On Process</t>
        </is>
      </c>
      <c r="T8" s="36" t="inlineStr">
        <is>
          <t>Teknis sangat baik</t>
        </is>
      </c>
    </row>
    <row r="9" ht="20" customHeight="1">
      <c r="A9" s="34" t="n">
        <v>5</v>
      </c>
      <c r="B9" s="34" t="inlineStr">
        <is>
          <t>ARK/MPR/003</t>
        </is>
      </c>
      <c r="C9" s="34" t="inlineStr">
        <is>
          <t>Marketing Lead</t>
        </is>
      </c>
      <c r="D9" s="34" t="inlineStr">
        <is>
          <t>Marketing</t>
        </is>
      </c>
      <c r="E9" s="34" t="inlineStr">
        <is>
          <t>Open</t>
        </is>
      </c>
      <c r="F9" s="34" t="n">
        <v>12</v>
      </c>
      <c r="G9" s="34" t="n">
        <v>6</v>
      </c>
      <c r="H9" s="34" t="inlineStr">
        <is>
          <t>Interview HR</t>
        </is>
      </c>
      <c r="I9" s="34" t="inlineStr">
        <is>
          <t>Fajar Nugroho</t>
        </is>
      </c>
      <c r="J9" s="34" t="inlineStr">
        <is>
          <t>081200005555</t>
        </is>
      </c>
      <c r="K9" s="34" t="inlineStr">
        <is>
          <t>fajar@email.com</t>
        </is>
      </c>
      <c r="L9" s="34" t="inlineStr">
        <is>
          <t>05/04/26</t>
        </is>
      </c>
      <c r="M9" s="34" t="inlineStr">
        <is>
          <t>10/04/26</t>
        </is>
      </c>
      <c r="N9" s="34" t="inlineStr"/>
      <c r="O9" s="34" t="inlineStr"/>
      <c r="P9" s="34" t="inlineStr"/>
      <c r="Q9" s="34" t="inlineStr">
        <is>
          <t>9000000</t>
        </is>
      </c>
      <c r="R9" s="34" t="inlineStr"/>
      <c r="S9" s="34" t="inlineStr">
        <is>
          <t>Screening</t>
        </is>
      </c>
      <c r="T9" s="34" t="inlineStr">
        <is>
          <t>Culture fit perlu didalami</t>
        </is>
      </c>
    </row>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sheetData>
  <mergeCells count="2">
    <mergeCell ref="A1:T1"/>
    <mergeCell ref="A2:T2"/>
  </mergeCells>
  <dataValidations count="2">
    <dataValidation sqref="H5:H200" showDropDown="0" showInputMessage="0" showErrorMessage="0" allowBlank="1" type="list">
      <formula1>"Open,Sourcing,Screening,Interview HR,Interview User,Technical Test,Interview Final,Reference Check,Offering,Hired,Rejected,Withdraw,Hold"</formula1>
    </dataValidation>
    <dataValidation sqref="E5:E200" showDropDown="0" showInputMessage="0" showErrorMessage="0" allowBlank="1" type="list">
      <formula1>"Open,Hold,Closed,Cancelled"</formula1>
    </dataValidation>
  </dataValidations>
  <pageMargins left="0.75" right="0.75" top="1" bottom="1" header="0.5" footer="0.5"/>
</worksheet>
</file>

<file path=xl/worksheets/sheet3.xml><?xml version="1.0" encoding="utf-8"?>
<worksheet xmlns="http://schemas.openxmlformats.org/spreadsheetml/2006/main">
  <sheetPr>
    <tabColor rgb="000F766E"/>
    <outlinePr summaryBelow="1" summaryRight="1"/>
    <pageSetUpPr/>
  </sheetPr>
  <dimension ref="A1:K72"/>
  <sheetViews>
    <sheetView showGridLines="0" workbookViewId="0">
      <selection activeCell="A1" sqref="A1"/>
    </sheetView>
  </sheetViews>
  <sheetFormatPr baseColWidth="8" defaultRowHeight="15"/>
  <cols>
    <col width="4" customWidth="1" min="1" max="1"/>
    <col width="42" customWidth="1" min="2" max="2"/>
    <col width="20" customWidth="1" min="3" max="3"/>
    <col width="14" customWidth="1" min="4" max="4"/>
    <col width="14" customWidth="1" min="5" max="5"/>
    <col width="22" customWidth="1" min="6" max="6"/>
    <col width="4" customWidth="1" min="7" max="7"/>
  </cols>
  <sheetData>
    <row r="1" ht="30" customHeight="1">
      <c r="A1" s="32" t="inlineStr">
        <is>
          <t>RECRUITMENT PROCESS CHECKLIST — PT ARUNIKA GROWTH INDONESIA</t>
        </is>
      </c>
    </row>
    <row r="2" ht="18" customHeight="1">
      <c r="A2" s="33" t="inlineStr">
        <is>
          <t>Gunakan checklist ini untuk setiap proses rekrutmen. Tandai ✓ jika sudah selesai dan isi kolom keterangan.</t>
        </is>
      </c>
    </row>
    <row r="4" ht="22" customHeight="1">
      <c r="A4" s="40" t="inlineStr">
        <is>
          <t>Posisi:</t>
        </is>
      </c>
      <c r="C4" s="40" t="inlineStr">
        <is>
          <t>MPR No.:</t>
        </is>
      </c>
      <c r="E4" s="40" t="inlineStr">
        <is>
          <t>PIC HR:</t>
        </is>
      </c>
      <c r="G4" s="40" t="inlineStr">
        <is>
          <t>Hiring Mgr:</t>
        </is>
      </c>
      <c r="I4" s="40" t="inlineStr">
        <is>
          <t>Tgl Mulai:</t>
        </is>
      </c>
    </row>
    <row r="5" ht="10" customHeight="1"/>
    <row r="6" ht="26" customHeight="1">
      <c r="A6" s="41" t="inlineStr">
        <is>
          <t xml:space="preserve">  ▌  PRE-REKRUTMEN</t>
        </is>
      </c>
    </row>
    <row r="7" ht="22" customHeight="1">
      <c r="A7" s="42" t="inlineStr">
        <is>
          <t>✓</t>
        </is>
      </c>
      <c r="B7" s="42" t="inlineStr">
        <is>
          <t>AKTIVITAS / CHECKLIST ITEM</t>
        </is>
      </c>
      <c r="C7" s="42" t="inlineStr">
        <is>
          <t>DOKUMEN REFERENSI</t>
        </is>
      </c>
      <c r="D7" s="42" t="inlineStr">
        <is>
          <t>PIC</t>
        </is>
      </c>
      <c r="E7" s="42" t="inlineStr">
        <is>
          <t>TGL SELESAI</t>
        </is>
      </c>
      <c r="F7" s="42" t="inlineStr">
        <is>
          <t>KETERANGAN</t>
        </is>
      </c>
    </row>
    <row r="8" ht="20" customHeight="1">
      <c r="A8" s="43" t="inlineStr">
        <is>
          <t>☐</t>
        </is>
      </c>
      <c r="B8" s="44" t="inlineStr">
        <is>
          <t>MPR sudah dibuat dan diisi lengkap oleh Hiring Manager</t>
        </is>
      </c>
      <c r="C8" s="44" t="inlineStr">
        <is>
          <t>ARK/HR/REC/F-01</t>
        </is>
      </c>
      <c r="D8" s="45" t="inlineStr">
        <is>
          <t>HR Staff</t>
        </is>
      </c>
      <c r="E8" s="45" t="inlineStr"/>
      <c r="F8" s="44" t="inlineStr"/>
    </row>
    <row r="9" ht="20" customHeight="1">
      <c r="A9" s="46" t="inlineStr">
        <is>
          <t>☐</t>
        </is>
      </c>
      <c r="B9" s="47" t="inlineStr">
        <is>
          <t>MPR sudah mendapat approval HR Manager &amp; COO</t>
        </is>
      </c>
      <c r="C9" s="47" t="inlineStr">
        <is>
          <t>ARK/HR/REC/F-01</t>
        </is>
      </c>
      <c r="D9" s="22" t="inlineStr">
        <is>
          <t>HR Manager</t>
        </is>
      </c>
      <c r="E9" s="22" t="inlineStr"/>
      <c r="F9" s="47" t="inlineStr"/>
    </row>
    <row r="10" ht="20" customHeight="1">
      <c r="A10" s="43" t="inlineStr">
        <is>
          <t>☐</t>
        </is>
      </c>
      <c r="B10" s="44" t="inlineStr">
        <is>
          <t>Job Description sudah dipersiapkan/diperbarui</t>
        </is>
      </c>
      <c r="C10" s="44" t="inlineStr">
        <is>
          <t>JD Template</t>
        </is>
      </c>
      <c r="D10" s="45" t="inlineStr">
        <is>
          <t>HR Staff</t>
        </is>
      </c>
      <c r="E10" s="45" t="inlineStr"/>
      <c r="F10" s="44" t="inlineStr"/>
    </row>
    <row r="11" ht="20" customHeight="1">
      <c r="A11" s="46" t="inlineStr">
        <is>
          <t>☐</t>
        </is>
      </c>
      <c r="B11" s="47" t="inlineStr">
        <is>
          <t>Kualifikasi minimum &amp; kompensasi range sudah dikonfirmasi</t>
        </is>
      </c>
      <c r="C11" s="47" t="inlineStr">
        <is>
          <t>MPR</t>
        </is>
      </c>
      <c r="D11" s="22" t="inlineStr">
        <is>
          <t>HR Staff</t>
        </is>
      </c>
      <c r="E11" s="22" t="inlineStr"/>
      <c r="F11" s="47" t="inlineStr"/>
    </row>
    <row r="12" ht="20" customHeight="1">
      <c r="A12" s="43" t="inlineStr">
        <is>
          <t>☐</t>
        </is>
      </c>
      <c r="B12" s="44" t="inlineStr">
        <is>
          <t>Job posting draft sudah di-review Hiring Manager</t>
        </is>
      </c>
      <c r="C12" s="44" t="inlineStr">
        <is>
          <t>—</t>
        </is>
      </c>
      <c r="D12" s="45" t="inlineStr">
        <is>
          <t>HR Staff</t>
        </is>
      </c>
      <c r="E12" s="45" t="inlineStr"/>
      <c r="F12" s="44" t="inlineStr"/>
    </row>
    <row r="13" ht="20" customHeight="1">
      <c r="A13" s="46" t="inlineStr">
        <is>
          <t>☐</t>
        </is>
      </c>
      <c r="B13" s="47" t="inlineStr">
        <is>
          <t>Akun job portal sudah aktif dan lowongan dipublish</t>
        </is>
      </c>
      <c r="C13" s="47" t="inlineStr">
        <is>
          <t>LinkedIn/Glints/Jobstreet</t>
        </is>
      </c>
      <c r="D13" s="22" t="inlineStr">
        <is>
          <t>HR Staff</t>
        </is>
      </c>
      <c r="E13" s="22" t="inlineStr"/>
      <c r="F13" s="47" t="inlineStr"/>
    </row>
    <row r="14" ht="20" customHeight="1">
      <c r="A14" s="43" t="inlineStr">
        <is>
          <t>☐</t>
        </is>
      </c>
      <c r="B14" s="44" t="inlineStr">
        <is>
          <t>Internal referral program sudah diumumkan ke karyawan</t>
        </is>
      </c>
      <c r="C14" s="44" t="inlineStr">
        <is>
          <t>Email Internal</t>
        </is>
      </c>
      <c r="D14" s="45" t="inlineStr">
        <is>
          <t>HR Staff</t>
        </is>
      </c>
      <c r="E14" s="45" t="inlineStr"/>
      <c r="F14" s="44" t="inlineStr"/>
    </row>
    <row r="16" ht="26" customHeight="1">
      <c r="A16" s="48" t="inlineStr">
        <is>
          <t xml:space="preserve">  ▌  SOURCING &amp; SCREENING</t>
        </is>
      </c>
    </row>
    <row r="17" ht="22" customHeight="1">
      <c r="A17" s="49" t="inlineStr">
        <is>
          <t>✓</t>
        </is>
      </c>
      <c r="B17" s="49" t="inlineStr">
        <is>
          <t>AKTIVITAS / CHECKLIST ITEM</t>
        </is>
      </c>
      <c r="C17" s="49" t="inlineStr">
        <is>
          <t>DOKUMEN REFERENSI</t>
        </is>
      </c>
      <c r="D17" s="49" t="inlineStr">
        <is>
          <t>PIC</t>
        </is>
      </c>
      <c r="E17" s="49" t="inlineStr">
        <is>
          <t>TGL SELESAI</t>
        </is>
      </c>
      <c r="F17" s="49" t="inlineStr">
        <is>
          <t>KETERANGAN</t>
        </is>
      </c>
    </row>
    <row r="18" ht="20" customHeight="1">
      <c r="A18" s="43" t="inlineStr">
        <is>
          <t>☐</t>
        </is>
      </c>
      <c r="B18" s="44" t="inlineStr">
        <is>
          <t>Sourcing CV dari minimal 2 channel berbeda</t>
        </is>
      </c>
      <c r="C18" s="44" t="inlineStr">
        <is>
          <t>Job Portal</t>
        </is>
      </c>
      <c r="D18" s="45" t="inlineStr">
        <is>
          <t>HR Staff</t>
        </is>
      </c>
      <c r="E18" s="45" t="inlineStr"/>
      <c r="F18" s="44" t="inlineStr"/>
    </row>
    <row r="19" ht="20" customHeight="1">
      <c r="A19" s="46" t="inlineStr">
        <is>
          <t>☐</t>
        </is>
      </c>
      <c r="B19" s="47" t="inlineStr">
        <is>
          <t>Candidate pool minimal 5 kandidat per posisi</t>
        </is>
      </c>
      <c r="C19" s="47" t="inlineStr">
        <is>
          <t>Pipeline Tracker</t>
        </is>
      </c>
      <c r="D19" s="22" t="inlineStr">
        <is>
          <t>HR Staff</t>
        </is>
      </c>
      <c r="E19" s="22" t="inlineStr"/>
      <c r="F19" s="47" t="inlineStr"/>
    </row>
    <row r="20" ht="20" customHeight="1">
      <c r="A20" s="43" t="inlineStr">
        <is>
          <t>☐</t>
        </is>
      </c>
      <c r="B20" s="44" t="inlineStr">
        <is>
          <t>Screening CV menggunakan Candidate Screening Form</t>
        </is>
      </c>
      <c r="C20" s="44" t="inlineStr">
        <is>
          <t>ARK/HR/REC/F-02</t>
        </is>
      </c>
      <c r="D20" s="45" t="inlineStr">
        <is>
          <t>HR Staff</t>
        </is>
      </c>
      <c r="E20" s="45" t="inlineStr"/>
      <c r="F20" s="44" t="inlineStr"/>
    </row>
    <row r="21" ht="20" customHeight="1">
      <c r="A21" s="46" t="inlineStr">
        <is>
          <t>☐</t>
        </is>
      </c>
      <c r="B21" s="47" t="inlineStr">
        <is>
          <t>Informasi keputusan screening dikomunikasikan ke kandidat</t>
        </is>
      </c>
      <c r="C21" s="47" t="inlineStr">
        <is>
          <t>Email/WA</t>
        </is>
      </c>
      <c r="D21" s="22" t="inlineStr">
        <is>
          <t>HR Staff</t>
        </is>
      </c>
      <c r="E21" s="22" t="inlineStr"/>
      <c r="F21" s="47" t="inlineStr"/>
    </row>
    <row r="22" ht="20" customHeight="1">
      <c r="A22" s="43" t="inlineStr">
        <is>
          <t>☐</t>
        </is>
      </c>
      <c r="B22" s="44" t="inlineStr">
        <is>
          <t>Kandidat yang tidak lolos sudah diberi notifikasi</t>
        </is>
      </c>
      <c r="C22" s="44" t="inlineStr">
        <is>
          <t>Template Email</t>
        </is>
      </c>
      <c r="D22" s="45" t="inlineStr">
        <is>
          <t>HR Staff</t>
        </is>
      </c>
      <c r="E22" s="45" t="inlineStr"/>
      <c r="F22" s="44" t="inlineStr"/>
    </row>
    <row r="23" ht="20" customHeight="1">
      <c r="A23" s="46" t="inlineStr">
        <is>
          <t>☐</t>
        </is>
      </c>
      <c r="B23" s="47" t="inlineStr">
        <is>
          <t>Kandidat lolos dijadwalkan interview HR</t>
        </is>
      </c>
      <c r="C23" s="47" t="inlineStr">
        <is>
          <t>Google Calendar</t>
        </is>
      </c>
      <c r="D23" s="22" t="inlineStr">
        <is>
          <t>HR Staff</t>
        </is>
      </c>
      <c r="E23" s="22" t="inlineStr"/>
      <c r="F23" s="47" t="inlineStr"/>
    </row>
    <row r="25" ht="26" customHeight="1">
      <c r="A25" s="50" t="inlineStr">
        <is>
          <t xml:space="preserve">  ▌  INTERVIEW PROCESS</t>
        </is>
      </c>
    </row>
    <row r="26" ht="22" customHeight="1">
      <c r="A26" s="51" t="inlineStr">
        <is>
          <t>✓</t>
        </is>
      </c>
      <c r="B26" s="51" t="inlineStr">
        <is>
          <t>AKTIVITAS / CHECKLIST ITEM</t>
        </is>
      </c>
      <c r="C26" s="51" t="inlineStr">
        <is>
          <t>DOKUMEN REFERENSI</t>
        </is>
      </c>
      <c r="D26" s="51" t="inlineStr">
        <is>
          <t>PIC</t>
        </is>
      </c>
      <c r="E26" s="51" t="inlineStr">
        <is>
          <t>TGL SELESAI</t>
        </is>
      </c>
      <c r="F26" s="51" t="inlineStr">
        <is>
          <t>KETERANGAN</t>
        </is>
      </c>
    </row>
    <row r="27" ht="20" customHeight="1">
      <c r="A27" s="43" t="inlineStr">
        <is>
          <t>☐</t>
        </is>
      </c>
      <c r="B27" s="44" t="inlineStr">
        <is>
          <t>Interview invitation sudah dikirim minimal 2 hari sebelum</t>
        </is>
      </c>
      <c r="C27" s="44" t="inlineStr">
        <is>
          <t>Template Email</t>
        </is>
      </c>
      <c r="D27" s="45" t="inlineStr">
        <is>
          <t>HR Staff</t>
        </is>
      </c>
      <c r="E27" s="45" t="inlineStr"/>
      <c r="F27" s="44" t="inlineStr"/>
    </row>
    <row r="28" ht="20" customHeight="1">
      <c r="A28" s="46" t="inlineStr">
        <is>
          <t>☐</t>
        </is>
      </c>
      <c r="B28" s="47" t="inlineStr">
        <is>
          <t>Interview Guide HR disiapkan</t>
        </is>
      </c>
      <c r="C28" s="47" t="inlineStr">
        <is>
          <t>ARK/HR/REC/F-04</t>
        </is>
      </c>
      <c r="D28" s="22" t="inlineStr">
        <is>
          <t>HR Staff</t>
        </is>
      </c>
      <c r="E28" s="22" t="inlineStr"/>
      <c r="F28" s="47" t="inlineStr"/>
    </row>
    <row r="29" ht="20" customHeight="1">
      <c r="A29" s="43" t="inlineStr">
        <is>
          <t>☐</t>
        </is>
      </c>
      <c r="B29" s="44" t="inlineStr">
        <is>
          <t>Interview HR sudah dilaksanakan &amp; dinilai</t>
        </is>
      </c>
      <c r="C29" s="44" t="inlineStr">
        <is>
          <t>Assessment Form</t>
        </is>
      </c>
      <c r="D29" s="45" t="inlineStr">
        <is>
          <t>HR Staff</t>
        </is>
      </c>
      <c r="E29" s="45" t="inlineStr"/>
      <c r="F29" s="44" t="inlineStr"/>
    </row>
    <row r="30" ht="20" customHeight="1">
      <c r="A30" s="46" t="inlineStr">
        <is>
          <t>☐</t>
        </is>
      </c>
      <c r="B30" s="47" t="inlineStr">
        <is>
          <t>Hasil interview HR sudah diinfokan ke Hiring Manager</t>
        </is>
      </c>
      <c r="C30" s="47" t="inlineStr">
        <is>
          <t>Notif/Email</t>
        </is>
      </c>
      <c r="D30" s="22" t="inlineStr">
        <is>
          <t>HR Staff</t>
        </is>
      </c>
      <c r="E30" s="22" t="inlineStr"/>
      <c r="F30" s="47" t="inlineStr"/>
    </row>
    <row r="31" ht="20" customHeight="1">
      <c r="A31" s="43" t="inlineStr">
        <is>
          <t>☐</t>
        </is>
      </c>
      <c r="B31" s="44" t="inlineStr">
        <is>
          <t>Interview User/Technical sudah dijadwalkan</t>
        </is>
      </c>
      <c r="C31" s="44" t="inlineStr">
        <is>
          <t>Google Calendar</t>
        </is>
      </c>
      <c r="D31" s="45" t="inlineStr">
        <is>
          <t>HR Staff</t>
        </is>
      </c>
      <c r="E31" s="45" t="inlineStr"/>
      <c r="F31" s="44" t="inlineStr"/>
    </row>
    <row r="32" ht="20" customHeight="1">
      <c r="A32" s="46" t="inlineStr">
        <is>
          <t>☐</t>
        </is>
      </c>
      <c r="B32" s="47" t="inlineStr">
        <is>
          <t>Interview Assessment Form sudah diisi Interviewer</t>
        </is>
      </c>
      <c r="C32" s="47" t="inlineStr">
        <is>
          <t>ARK/HR/REC/F-03</t>
        </is>
      </c>
      <c r="D32" s="22" t="inlineStr">
        <is>
          <t>Hiring Manager</t>
        </is>
      </c>
      <c r="E32" s="22" t="inlineStr"/>
      <c r="F32" s="47" t="inlineStr"/>
    </row>
    <row r="33" ht="20" customHeight="1">
      <c r="A33" s="43" t="inlineStr">
        <is>
          <t>☐</t>
        </is>
      </c>
      <c r="B33" s="44" t="inlineStr">
        <is>
          <t>Untuk level Senior: Interview Final sudah dilakukan</t>
        </is>
      </c>
      <c r="C33" s="44" t="inlineStr">
        <is>
          <t>—</t>
        </is>
      </c>
      <c r="D33" s="45" t="inlineStr">
        <is>
          <t>HR Manager/COO</t>
        </is>
      </c>
      <c r="E33" s="45" t="inlineStr"/>
      <c r="F33" s="44" t="inlineStr"/>
    </row>
    <row r="34" ht="20" customHeight="1">
      <c r="A34" s="46" t="inlineStr">
        <is>
          <t>☐</t>
        </is>
      </c>
      <c r="B34" s="47" t="inlineStr">
        <is>
          <t>Diskusi &amp; keputusan kandidat final sudah disepakati semua pihak</t>
        </is>
      </c>
      <c r="C34" s="47" t="inlineStr">
        <is>
          <t>Meeting Notes</t>
        </is>
      </c>
      <c r="D34" s="22" t="inlineStr">
        <is>
          <t>HR Staff</t>
        </is>
      </c>
      <c r="E34" s="22" t="inlineStr"/>
      <c r="F34" s="47" t="inlineStr"/>
    </row>
    <row r="36" ht="26" customHeight="1">
      <c r="A36" s="52" t="inlineStr">
        <is>
          <t xml:space="preserve">  ▌  OFFERING &amp; NEGOSIASI</t>
        </is>
      </c>
    </row>
    <row r="37" ht="22" customHeight="1">
      <c r="A37" s="53" t="inlineStr">
        <is>
          <t>✓</t>
        </is>
      </c>
      <c r="B37" s="53" t="inlineStr">
        <is>
          <t>AKTIVITAS / CHECKLIST ITEM</t>
        </is>
      </c>
      <c r="C37" s="53" t="inlineStr">
        <is>
          <t>DOKUMEN REFERENSI</t>
        </is>
      </c>
      <c r="D37" s="53" t="inlineStr">
        <is>
          <t>PIC</t>
        </is>
      </c>
      <c r="E37" s="53" t="inlineStr">
        <is>
          <t>TGL SELESAI</t>
        </is>
      </c>
      <c r="F37" s="53" t="inlineStr">
        <is>
          <t>KETERANGAN</t>
        </is>
      </c>
    </row>
    <row r="38" ht="20" customHeight="1">
      <c r="A38" s="43" t="inlineStr">
        <is>
          <t>☐</t>
        </is>
      </c>
      <c r="B38" s="44" t="inlineStr">
        <is>
          <t>Reference check sudah dilakukan (min. 1 referensi)</t>
        </is>
      </c>
      <c r="C38" s="44" t="inlineStr">
        <is>
          <t>—</t>
        </is>
      </c>
      <c r="D38" s="45" t="inlineStr">
        <is>
          <t>HR Staff</t>
        </is>
      </c>
      <c r="E38" s="45" t="inlineStr"/>
      <c r="F38" s="44" t="inlineStr"/>
    </row>
    <row r="39" ht="20" customHeight="1">
      <c r="A39" s="46" t="inlineStr">
        <is>
          <t>☐</t>
        </is>
      </c>
      <c r="B39" s="47" t="inlineStr">
        <is>
          <t>Offering &amp; Negotiation Sheet sudah disiapkan</t>
        </is>
      </c>
      <c r="C39" s="47" t="inlineStr">
        <is>
          <t>ARK/HR/REC/F-04</t>
        </is>
      </c>
      <c r="D39" s="22" t="inlineStr">
        <is>
          <t>HR Staff</t>
        </is>
      </c>
      <c r="E39" s="22" t="inlineStr"/>
      <c r="F39" s="47" t="inlineStr"/>
    </row>
    <row r="40" ht="20" customHeight="1">
      <c r="A40" s="43" t="inlineStr">
        <is>
          <t>☐</t>
        </is>
      </c>
      <c r="B40" s="44" t="inlineStr">
        <is>
          <t>Verbal offer sudah disampaikan ke kandidat</t>
        </is>
      </c>
      <c r="C40" s="44" t="inlineStr">
        <is>
          <t>—</t>
        </is>
      </c>
      <c r="D40" s="45" t="inlineStr">
        <is>
          <t>HR Staff</t>
        </is>
      </c>
      <c r="E40" s="45" t="inlineStr"/>
      <c r="F40" s="44" t="inlineStr"/>
    </row>
    <row r="41" ht="20" customHeight="1">
      <c r="A41" s="46" t="inlineStr">
        <is>
          <t>☐</t>
        </is>
      </c>
      <c r="B41" s="47" t="inlineStr">
        <is>
          <t>Offer Letter resmi sudah dibuat &amp; ditandatangani HRD</t>
        </is>
      </c>
      <c r="C41" s="47" t="inlineStr">
        <is>
          <t>Offer Letter</t>
        </is>
      </c>
      <c r="D41" s="22" t="inlineStr">
        <is>
          <t>HR Manager</t>
        </is>
      </c>
      <c r="E41" s="22" t="inlineStr"/>
      <c r="F41" s="47" t="inlineStr"/>
    </row>
    <row r="42" ht="20" customHeight="1">
      <c r="A42" s="43" t="inlineStr">
        <is>
          <t>☐</t>
        </is>
      </c>
      <c r="B42" s="44" t="inlineStr">
        <is>
          <t>Offer Letter sudah diterima kandidat (TTD)</t>
        </is>
      </c>
      <c r="C42" s="44" t="inlineStr">
        <is>
          <t>Dokumen Fisik</t>
        </is>
      </c>
      <c r="D42" s="45" t="inlineStr">
        <is>
          <t>HR Staff</t>
        </is>
      </c>
      <c r="E42" s="45" t="inlineStr"/>
      <c r="F42" s="44" t="inlineStr"/>
    </row>
    <row r="43" ht="20" customHeight="1">
      <c r="A43" s="46" t="inlineStr">
        <is>
          <t>☐</t>
        </is>
      </c>
      <c r="B43" s="47" t="inlineStr">
        <is>
          <t>Tanggal masuk kerja sudah dikonfirmasi kandidat</t>
        </is>
      </c>
      <c r="C43" s="47" t="inlineStr">
        <is>
          <t>—</t>
        </is>
      </c>
      <c r="D43" s="22" t="inlineStr">
        <is>
          <t>HR Staff</t>
        </is>
      </c>
      <c r="E43" s="22" t="inlineStr"/>
      <c r="F43" s="47" t="inlineStr"/>
    </row>
    <row r="45" ht="26" customHeight="1">
      <c r="A45" s="54" t="inlineStr">
        <is>
          <t xml:space="preserve">  ▌  PRE-ONBOARDING</t>
        </is>
      </c>
    </row>
    <row r="46" ht="22" customHeight="1">
      <c r="A46" s="55" t="inlineStr">
        <is>
          <t>✓</t>
        </is>
      </c>
      <c r="B46" s="55" t="inlineStr">
        <is>
          <t>AKTIVITAS / CHECKLIST ITEM</t>
        </is>
      </c>
      <c r="C46" s="55" t="inlineStr">
        <is>
          <t>DOKUMEN REFERENSI</t>
        </is>
      </c>
      <c r="D46" s="55" t="inlineStr">
        <is>
          <t>PIC</t>
        </is>
      </c>
      <c r="E46" s="55" t="inlineStr">
        <is>
          <t>TGL SELESAI</t>
        </is>
      </c>
      <c r="F46" s="55" t="inlineStr">
        <is>
          <t>KETERANGAN</t>
        </is>
      </c>
    </row>
    <row r="47" ht="20" customHeight="1">
      <c r="A47" s="43" t="inlineStr">
        <is>
          <t>☐</t>
        </is>
      </c>
      <c r="B47" s="44" t="inlineStr">
        <is>
          <t>Kontrak kerja sudah disiapkan Legal/HR</t>
        </is>
      </c>
      <c r="C47" s="44" t="inlineStr">
        <is>
          <t>PKWT/PKWTT Template</t>
        </is>
      </c>
      <c r="D47" s="45" t="inlineStr">
        <is>
          <t>HR Staff</t>
        </is>
      </c>
      <c r="E47" s="45" t="inlineStr"/>
      <c r="F47" s="44" t="inlineStr"/>
    </row>
    <row r="48" ht="20" customHeight="1">
      <c r="A48" s="46" t="inlineStr">
        <is>
          <t>☐</t>
        </is>
      </c>
      <c r="B48" s="47" t="inlineStr">
        <is>
          <t>Email selamat datang sudah dikirim ke karyawan baru</t>
        </is>
      </c>
      <c r="C48" s="47" t="inlineStr">
        <is>
          <t>Template Email</t>
        </is>
      </c>
      <c r="D48" s="22" t="inlineStr">
        <is>
          <t>HR Staff</t>
        </is>
      </c>
      <c r="E48" s="22" t="inlineStr"/>
      <c r="F48" s="47" t="inlineStr"/>
    </row>
    <row r="49" ht="20" customHeight="1">
      <c r="A49" s="43" t="inlineStr">
        <is>
          <t>☐</t>
        </is>
      </c>
      <c r="B49" s="44" t="inlineStr">
        <is>
          <t>Dokumen yang harus dibawa sudah diinfokan</t>
        </is>
      </c>
      <c r="C49" s="44" t="inlineStr">
        <is>
          <t>Checklist Dokumen</t>
        </is>
      </c>
      <c r="D49" s="45" t="inlineStr">
        <is>
          <t>HR Staff</t>
        </is>
      </c>
      <c r="E49" s="45" t="inlineStr"/>
      <c r="F49" s="44" t="inlineStr"/>
    </row>
    <row r="50" ht="20" customHeight="1">
      <c r="A50" s="46" t="inlineStr">
        <is>
          <t>☐</t>
        </is>
      </c>
      <c r="B50" s="47" t="inlineStr">
        <is>
          <t>Laptop/perangkat kerja sudah disiapkan IT</t>
        </is>
      </c>
      <c r="C50" s="47" t="inlineStr">
        <is>
          <t>IT Request</t>
        </is>
      </c>
      <c r="D50" s="22" t="inlineStr">
        <is>
          <t>HR Staff + IT</t>
        </is>
      </c>
      <c r="E50" s="22" t="inlineStr"/>
      <c r="F50" s="47" t="inlineStr"/>
    </row>
    <row r="51" ht="20" customHeight="1">
      <c r="A51" s="43" t="inlineStr">
        <is>
          <t>☐</t>
        </is>
      </c>
      <c r="B51" s="44" t="inlineStr">
        <is>
          <t>Akses sistem &amp; email perusahaan sudah dibuat</t>
        </is>
      </c>
      <c r="C51" s="44" t="inlineStr">
        <is>
          <t>IT Ticket</t>
        </is>
      </c>
      <c r="D51" s="45" t="inlineStr">
        <is>
          <t>HR Staff + IT</t>
        </is>
      </c>
      <c r="E51" s="45" t="inlineStr"/>
      <c r="F51" s="44" t="inlineStr"/>
    </row>
    <row r="52" ht="20" customHeight="1">
      <c r="A52" s="46" t="inlineStr">
        <is>
          <t>☐</t>
        </is>
      </c>
      <c r="B52" s="47" t="inlineStr">
        <is>
          <t>Jadwal orientasi &amp; buddy system sudah disiapkan</t>
        </is>
      </c>
      <c r="C52" s="47" t="inlineStr">
        <is>
          <t>Onboarding Schedule</t>
        </is>
      </c>
      <c r="D52" s="22" t="inlineStr">
        <is>
          <t>HR Staff</t>
        </is>
      </c>
      <c r="E52" s="22" t="inlineStr"/>
      <c r="F52" s="47" t="inlineStr"/>
    </row>
    <row r="53" ht="20" customHeight="1">
      <c r="A53" s="43" t="inlineStr">
        <is>
          <t>☐</t>
        </is>
      </c>
      <c r="B53" s="44" t="inlineStr">
        <is>
          <t>Hiring Manager sudah diberitahu jadwal hari pertama</t>
        </is>
      </c>
      <c r="C53" s="44" t="inlineStr">
        <is>
          <t>—</t>
        </is>
      </c>
      <c r="D53" s="45" t="inlineStr">
        <is>
          <t>HR Staff</t>
        </is>
      </c>
      <c r="E53" s="45" t="inlineStr"/>
      <c r="F53" s="44" t="inlineStr"/>
    </row>
    <row r="54" ht="20" customHeight="1">
      <c r="A54" s="46" t="inlineStr">
        <is>
          <t>☐</t>
        </is>
      </c>
      <c r="B54" s="47" t="inlineStr">
        <is>
          <t>Workstation/meja sudah disiapkan</t>
        </is>
      </c>
      <c r="C54" s="47" t="inlineStr">
        <is>
          <t>—</t>
        </is>
      </c>
      <c r="D54" s="22" t="inlineStr">
        <is>
          <t>People Ops</t>
        </is>
      </c>
      <c r="E54" s="22" t="inlineStr"/>
      <c r="F54" s="47" t="inlineStr"/>
    </row>
    <row r="56" ht="26" customHeight="1">
      <c r="A56" s="56" t="inlineStr">
        <is>
          <t xml:space="preserve">  ▌  ONBOARDING HARI PERTAMA</t>
        </is>
      </c>
    </row>
    <row r="57" ht="22" customHeight="1">
      <c r="A57" s="57" t="inlineStr">
        <is>
          <t>✓</t>
        </is>
      </c>
      <c r="B57" s="57" t="inlineStr">
        <is>
          <t>AKTIVITAS / CHECKLIST ITEM</t>
        </is>
      </c>
      <c r="C57" s="57" t="inlineStr">
        <is>
          <t>DOKUMEN REFERENSI</t>
        </is>
      </c>
      <c r="D57" s="57" t="inlineStr">
        <is>
          <t>PIC</t>
        </is>
      </c>
      <c r="E57" s="57" t="inlineStr">
        <is>
          <t>TGL SELESAI</t>
        </is>
      </c>
      <c r="F57" s="57" t="inlineStr">
        <is>
          <t>KETERANGAN</t>
        </is>
      </c>
    </row>
    <row r="58" ht="20" customHeight="1">
      <c r="A58" s="43" t="inlineStr">
        <is>
          <t>☐</t>
        </is>
      </c>
      <c r="B58" s="44" t="inlineStr">
        <is>
          <t>Welcome pack / goodie bag sudah disiapkan</t>
        </is>
      </c>
      <c r="C58" s="44" t="inlineStr">
        <is>
          <t>—</t>
        </is>
      </c>
      <c r="D58" s="45" t="inlineStr">
        <is>
          <t>HR Staff</t>
        </is>
      </c>
      <c r="E58" s="45" t="inlineStr"/>
      <c r="F58" s="44" t="inlineStr"/>
    </row>
    <row r="59" ht="20" customHeight="1">
      <c r="A59" s="46" t="inlineStr">
        <is>
          <t>☐</t>
        </is>
      </c>
      <c r="B59" s="47" t="inlineStr">
        <is>
          <t>Orientasi perusahaan (values, policy, benefit) sudah dilakukan</t>
        </is>
      </c>
      <c r="C59" s="47" t="inlineStr">
        <is>
          <t>Orientation Deck</t>
        </is>
      </c>
      <c r="D59" s="22" t="inlineStr">
        <is>
          <t>HR Staff</t>
        </is>
      </c>
      <c r="E59" s="22" t="inlineStr"/>
      <c r="F59" s="47" t="inlineStr"/>
    </row>
    <row r="60" ht="20" customHeight="1">
      <c r="A60" s="43" t="inlineStr">
        <is>
          <t>☐</t>
        </is>
      </c>
      <c r="B60" s="44" t="inlineStr">
        <is>
          <t>Perkenalan dengan seluruh tim sudah dilakukan</t>
        </is>
      </c>
      <c r="C60" s="44" t="inlineStr">
        <is>
          <t>—</t>
        </is>
      </c>
      <c r="D60" s="45" t="inlineStr">
        <is>
          <t>Hiring Manager</t>
        </is>
      </c>
      <c r="E60" s="45" t="inlineStr"/>
      <c r="F60" s="44" t="inlineStr"/>
    </row>
    <row r="61" ht="20" customHeight="1">
      <c r="A61" s="46" t="inlineStr">
        <is>
          <t>☐</t>
        </is>
      </c>
      <c r="B61" s="47" t="inlineStr">
        <is>
          <t>Setup tools &amp; akses sistem sudah selesai</t>
        </is>
      </c>
      <c r="C61" s="47" t="inlineStr">
        <is>
          <t>IT Checklist</t>
        </is>
      </c>
      <c r="D61" s="22" t="inlineStr">
        <is>
          <t>IT + HR</t>
        </is>
      </c>
      <c r="E61" s="22" t="inlineStr"/>
      <c r="F61" s="47" t="inlineStr"/>
    </row>
    <row r="62" ht="20" customHeight="1">
      <c r="A62" s="43" t="inlineStr">
        <is>
          <t>☐</t>
        </is>
      </c>
      <c r="B62" s="44" t="inlineStr">
        <is>
          <t>Kontrak kerja sudah ditandatangani karyawan baru</t>
        </is>
      </c>
      <c r="C62" s="44" t="inlineStr">
        <is>
          <t>PKWT/PKWTT</t>
        </is>
      </c>
      <c r="D62" s="45" t="inlineStr">
        <is>
          <t>HR Staff</t>
        </is>
      </c>
      <c r="E62" s="45" t="inlineStr"/>
      <c r="F62" s="44" t="inlineStr"/>
    </row>
    <row r="63" ht="20" customHeight="1">
      <c r="A63" s="46" t="inlineStr">
        <is>
          <t>☐</t>
        </is>
      </c>
      <c r="B63" s="47" t="inlineStr">
        <is>
          <t>Data karyawan sudah dimasukkan ke HRIS</t>
        </is>
      </c>
      <c r="C63" s="47" t="inlineStr">
        <is>
          <t>HRIS</t>
        </is>
      </c>
      <c r="D63" s="22" t="inlineStr">
        <is>
          <t>HR Staff</t>
        </is>
      </c>
      <c r="E63" s="22" t="inlineStr"/>
      <c r="F63" s="47" t="inlineStr"/>
    </row>
    <row r="64" ht="20" customHeight="1">
      <c r="A64" s="43" t="inlineStr">
        <is>
          <t>☐</t>
        </is>
      </c>
      <c r="B64" s="44" t="inlineStr">
        <is>
          <t>Fingerprint / absensi sudah diregistrasi</t>
        </is>
      </c>
      <c r="C64" s="44" t="inlineStr">
        <is>
          <t>—</t>
        </is>
      </c>
      <c r="D64" s="45" t="inlineStr">
        <is>
          <t>HR Staff</t>
        </is>
      </c>
      <c r="E64" s="45" t="inlineStr"/>
      <c r="F64" s="44" t="inlineStr"/>
    </row>
    <row r="65" ht="20" customHeight="1">
      <c r="A65" s="46" t="inlineStr">
        <is>
          <t>☐</t>
        </is>
      </c>
      <c r="B65" s="47" t="inlineStr">
        <is>
          <t>BPJS (Ketenagakerjaan + Kesehatan) sudah didaftarkan</t>
        </is>
      </c>
      <c r="C65" s="47" t="inlineStr">
        <is>
          <t>BPJS Form</t>
        </is>
      </c>
      <c r="D65" s="22" t="inlineStr">
        <is>
          <t>HR Staff</t>
        </is>
      </c>
      <c r="E65" s="22" t="inlineStr"/>
      <c r="F65" s="47" t="inlineStr"/>
    </row>
    <row r="66" ht="20" customHeight="1">
      <c r="A66" s="43" t="inlineStr">
        <is>
          <t>☐</t>
        </is>
      </c>
      <c r="B66" s="44" t="inlineStr">
        <is>
          <t>30/60/90-day plan probasi sudah dikomunikasikan</t>
        </is>
      </c>
      <c r="C66" s="44" t="inlineStr">
        <is>
          <t>—</t>
        </is>
      </c>
      <c r="D66" s="45" t="inlineStr">
        <is>
          <t>Hiring Manager</t>
        </is>
      </c>
      <c r="E66" s="45" t="inlineStr"/>
      <c r="F66" s="44" t="inlineStr"/>
    </row>
    <row r="68" ht="24" customHeight="1">
      <c r="A68" s="41" t="inlineStr">
        <is>
          <t xml:space="preserve">  ▌  RINGKASAN PROGRESS</t>
        </is>
      </c>
    </row>
    <row r="69" ht="18" customHeight="1">
      <c r="A69" s="58" t="inlineStr">
        <is>
          <t>Total Aktivitas</t>
        </is>
      </c>
      <c r="B69" s="59">
        <f>COUNTA(B6:B200)-COUNTIF(B6:B200,"")</f>
        <v/>
      </c>
    </row>
    <row r="70" ht="18" customHeight="1">
      <c r="A70" s="58" t="inlineStr">
        <is>
          <t>Sudah Selesai (☑)</t>
        </is>
      </c>
      <c r="B70" s="59">
        <f>COUNTIF(A6:A200,"☑")</f>
        <v/>
      </c>
    </row>
    <row r="71" ht="18" customHeight="1">
      <c r="A71" s="58" t="inlineStr">
        <is>
          <t>Belum Selesai (☐)</t>
        </is>
      </c>
      <c r="B71" s="59">
        <f>COUNTIF(A6:A200,"☐")</f>
        <v/>
      </c>
    </row>
    <row r="72" ht="18" customHeight="1">
      <c r="A72" s="58" t="inlineStr">
        <is>
          <t>% Progress</t>
        </is>
      </c>
      <c r="B72" s="60">
        <f>IFERROR(COUNTIF(A6:A200,"☑")/COUNTA(B6:B200),0)</f>
        <v/>
      </c>
    </row>
  </sheetData>
  <mergeCells count="9">
    <mergeCell ref="A16:F16"/>
    <mergeCell ref="A36:F36"/>
    <mergeCell ref="A68:F68"/>
    <mergeCell ref="A45:F45"/>
    <mergeCell ref="A2:K2"/>
    <mergeCell ref="A6:F6"/>
    <mergeCell ref="A56:F56"/>
    <mergeCell ref="A1:K1"/>
    <mergeCell ref="A25:F25"/>
  </mergeCells>
  <pageMargins left="0.75" right="0.75" top="1" bottom="1" header="0.5" footer="0.5"/>
</worksheet>
</file>

<file path=xl/worksheets/sheet4.xml><?xml version="1.0" encoding="utf-8"?>
<worksheet xmlns="http://schemas.openxmlformats.org/spreadsheetml/2006/main">
  <sheetPr>
    <tabColor rgb="00C2410C"/>
    <outlinePr summaryBelow="1" summaryRight="1"/>
    <pageSetUpPr/>
  </sheetPr>
  <dimension ref="A1:J40"/>
  <sheetViews>
    <sheetView showGridLines="0" workbookViewId="0">
      <selection activeCell="A1" sqref="A1"/>
    </sheetView>
  </sheetViews>
  <sheetFormatPr baseColWidth="8" defaultRowHeight="15"/>
  <cols>
    <col width="5" customWidth="1" min="1" max="1"/>
    <col width="32" customWidth="1" min="2" max="2"/>
    <col width="38" customWidth="1" min="3" max="3"/>
    <col width="10" customWidth="1" min="4" max="4"/>
    <col width="28" customWidth="1" min="5" max="5"/>
    <col width="6" customWidth="1" min="6" max="6"/>
    <col width="6" customWidth="1" min="7" max="7"/>
    <col width="6" customWidth="1" min="8" max="8"/>
    <col width="6" customWidth="1" min="9" max="9"/>
    <col width="6" customWidth="1" min="10" max="10"/>
  </cols>
  <sheetData>
    <row r="1" ht="30" customHeight="1">
      <c r="A1" s="32" t="inlineStr">
        <is>
          <t>INTERVIEW GUIDE — BEHAVIORAL &amp; COMPETENCY-BASED</t>
        </is>
      </c>
    </row>
    <row r="2" ht="18" customHeight="1">
      <c r="A2" s="2" t="inlineStr">
        <is>
          <t>PT Arunika Growth Indonesia  |  HR Division  |  Digunakan oleh semua Interviewer</t>
        </is>
      </c>
    </row>
    <row r="4" ht="22" customHeight="1">
      <c r="A4" s="58" t="inlineStr">
        <is>
          <t>Nama Kandidat:</t>
        </is>
      </c>
      <c r="C4" s="58" t="inlineStr">
        <is>
          <t>Posisi:</t>
        </is>
      </c>
      <c r="E4" s="58" t="inlineStr">
        <is>
          <t>Tanggal:</t>
        </is>
      </c>
      <c r="G4" s="58" t="inlineStr">
        <is>
          <t>Interviewer:</t>
        </is>
      </c>
      <c r="I4" s="58" t="inlineStr">
        <is>
          <t>Tipe Interview:</t>
        </is>
      </c>
    </row>
    <row r="5" ht="10" customHeight="1"/>
    <row r="6" ht="26" customHeight="1">
      <c r="A6" s="41" t="inlineStr">
        <is>
          <t xml:space="preserve">  ▌  PEMBUKAAN &amp; RAPPORT BUILDING</t>
        </is>
      </c>
    </row>
    <row r="7" ht="26" customHeight="1">
      <c r="A7" s="42" t="inlineStr">
        <is>
          <t>NO</t>
        </is>
      </c>
      <c r="B7" s="42" t="inlineStr">
        <is>
          <t>TOPIK / PERTANYAAN</t>
        </is>
      </c>
      <c r="C7" s="42" t="inlineStr">
        <is>
          <t>PERTANYAAN UTAMA (Wajib diajukan)</t>
        </is>
      </c>
      <c r="D7" s="42" t="inlineStr">
        <is>
          <t>METODE</t>
        </is>
      </c>
      <c r="E7" s="42" t="inlineStr">
        <is>
          <t>KOMPETENSI DINILAI</t>
        </is>
      </c>
      <c r="F7" s="42" t="inlineStr">
        <is>
          <t>1</t>
        </is>
      </c>
      <c r="G7" s="42" t="inlineStr">
        <is>
          <t>2</t>
        </is>
      </c>
      <c r="H7" s="42" t="inlineStr">
        <is>
          <t>3</t>
        </is>
      </c>
      <c r="I7" s="42" t="inlineStr">
        <is>
          <t>4</t>
        </is>
      </c>
      <c r="J7" s="42" t="inlineStr">
        <is>
          <t>5</t>
        </is>
      </c>
    </row>
    <row r="8" ht="42" customHeight="1">
      <c r="A8" s="45" t="inlineStr">
        <is>
          <t>1</t>
        </is>
      </c>
      <c r="B8" s="61" t="inlineStr">
        <is>
          <t>Pembukaan</t>
        </is>
      </c>
      <c r="C8" s="44" t="inlineStr">
        <is>
          <t>Perkenalkan diri dan jelaskan alur interview hari ini. Buat kandidat merasa nyaman.</t>
        </is>
      </c>
      <c r="D8" s="45" t="inlineStr">
        <is>
          <t>Waktu: 5 menit</t>
        </is>
      </c>
      <c r="E8" s="45" t="inlineStr">
        <is>
          <t>—</t>
        </is>
      </c>
      <c r="F8" s="45" t="inlineStr">
        <is>
          <t>☐</t>
        </is>
      </c>
      <c r="G8" s="45" t="inlineStr">
        <is>
          <t>☐</t>
        </is>
      </c>
      <c r="H8" s="45" t="inlineStr">
        <is>
          <t>☐</t>
        </is>
      </c>
      <c r="I8" s="45" t="inlineStr">
        <is>
          <t>☐</t>
        </is>
      </c>
      <c r="J8" s="45" t="inlineStr">
        <is>
          <t>☐</t>
        </is>
      </c>
    </row>
    <row r="9" ht="42" customHeight="1">
      <c r="A9" s="22" t="inlineStr">
        <is>
          <t>2</t>
        </is>
      </c>
      <c r="B9" s="62" t="inlineStr">
        <is>
          <t>Ice Breaker</t>
        </is>
      </c>
      <c r="C9" s="47" t="inlineStr">
        <is>
          <t>Ceritakan perjalanan karir Anda secara singkat dari awal hingga saat ini.</t>
        </is>
      </c>
      <c r="D9" s="22" t="inlineStr">
        <is>
          <t>STAR Method</t>
        </is>
      </c>
      <c r="E9" s="22" t="inlineStr">
        <is>
          <t>Culture Fit</t>
        </is>
      </c>
      <c r="F9" s="22" t="inlineStr">
        <is>
          <t>☐</t>
        </is>
      </c>
      <c r="G9" s="22" t="inlineStr">
        <is>
          <t>☐</t>
        </is>
      </c>
      <c r="H9" s="22" t="inlineStr">
        <is>
          <t>☐</t>
        </is>
      </c>
      <c r="I9" s="22" t="inlineStr">
        <is>
          <t>☐</t>
        </is>
      </c>
      <c r="J9" s="22" t="inlineStr">
        <is>
          <t>☐</t>
        </is>
      </c>
    </row>
    <row r="10" ht="42" customHeight="1">
      <c r="A10" s="45" t="inlineStr">
        <is>
          <t>3</t>
        </is>
      </c>
      <c r="B10" s="61" t="inlineStr">
        <is>
          <t>Motivasi Melamar</t>
        </is>
      </c>
      <c r="C10" s="44" t="inlineStr">
        <is>
          <t>Apa yang membuat Anda tertarik untuk bergabung dengan PT Arunika Growth Indonesia khususnya untuk posisi ini?</t>
        </is>
      </c>
      <c r="D10" s="45" t="inlineStr">
        <is>
          <t>Open-ended</t>
        </is>
      </c>
      <c r="E10" s="45" t="inlineStr">
        <is>
          <t>Culture Fit</t>
        </is>
      </c>
      <c r="F10" s="45" t="inlineStr">
        <is>
          <t>☐</t>
        </is>
      </c>
      <c r="G10" s="45" t="inlineStr">
        <is>
          <t>☐</t>
        </is>
      </c>
      <c r="H10" s="45" t="inlineStr">
        <is>
          <t>☐</t>
        </is>
      </c>
      <c r="I10" s="45" t="inlineStr">
        <is>
          <t>☐</t>
        </is>
      </c>
      <c r="J10" s="45" t="inlineStr">
        <is>
          <t>☐</t>
        </is>
      </c>
    </row>
    <row r="12" ht="26" customHeight="1">
      <c r="A12" s="48" t="inlineStr">
        <is>
          <t xml:space="preserve">  ▌  KOMPETENSI BEHAVIORAL (STAR METHOD)</t>
        </is>
      </c>
    </row>
    <row r="13" ht="26" customHeight="1">
      <c r="A13" s="49" t="inlineStr">
        <is>
          <t>NO</t>
        </is>
      </c>
      <c r="B13" s="49" t="inlineStr">
        <is>
          <t>TOPIK / PERTANYAAN</t>
        </is>
      </c>
      <c r="C13" s="49" t="inlineStr">
        <is>
          <t>PERTANYAAN UTAMA (Wajib diajukan)</t>
        </is>
      </c>
      <c r="D13" s="49" t="inlineStr">
        <is>
          <t>METODE</t>
        </is>
      </c>
      <c r="E13" s="49" t="inlineStr">
        <is>
          <t>KOMPETENSI DINILAI</t>
        </is>
      </c>
      <c r="F13" s="49" t="inlineStr">
        <is>
          <t>1</t>
        </is>
      </c>
      <c r="G13" s="49" t="inlineStr">
        <is>
          <t>2</t>
        </is>
      </c>
      <c r="H13" s="49" t="inlineStr">
        <is>
          <t>3</t>
        </is>
      </c>
      <c r="I13" s="49" t="inlineStr">
        <is>
          <t>4</t>
        </is>
      </c>
      <c r="J13" s="49" t="inlineStr">
        <is>
          <t>5</t>
        </is>
      </c>
    </row>
    <row r="14" ht="42" customHeight="1">
      <c r="A14" s="45" t="inlineStr">
        <is>
          <t>1</t>
        </is>
      </c>
      <c r="B14" s="61" t="inlineStr">
        <is>
          <t>Teamwork</t>
        </is>
      </c>
      <c r="C14" s="44" t="inlineStr">
        <is>
          <t>Ceritakan satu pengalaman di mana Anda harus bekerja dalam tim yang memiliki perbedaan pendapat tajam. Bagaimana Anda mengelolanya dan apa hasilnya?</t>
        </is>
      </c>
      <c r="D14" s="45" t="inlineStr">
        <is>
          <t>STAR</t>
        </is>
      </c>
      <c r="E14" s="45" t="inlineStr">
        <is>
          <t>Teamwork</t>
        </is>
      </c>
      <c r="F14" s="45" t="inlineStr">
        <is>
          <t>☐</t>
        </is>
      </c>
      <c r="G14" s="45" t="inlineStr">
        <is>
          <t>☐</t>
        </is>
      </c>
      <c r="H14" s="45" t="inlineStr">
        <is>
          <t>☐</t>
        </is>
      </c>
      <c r="I14" s="45" t="inlineStr">
        <is>
          <t>☐</t>
        </is>
      </c>
      <c r="J14" s="45" t="inlineStr">
        <is>
          <t>☐</t>
        </is>
      </c>
    </row>
    <row r="15" ht="42" customHeight="1">
      <c r="A15" s="22" t="inlineStr">
        <is>
          <t>2</t>
        </is>
      </c>
      <c r="B15" s="62" t="inlineStr">
        <is>
          <t>Problem Solving</t>
        </is>
      </c>
      <c r="C15" s="47" t="inlineStr">
        <is>
          <t>Ceritakan situasi di mana Anda menghadapi masalah yang sangat kompleks dan tidak ada solusi yang jelas. Apa yang Anda lakukan?</t>
        </is>
      </c>
      <c r="D15" s="22" t="inlineStr">
        <is>
          <t>STAR</t>
        </is>
      </c>
      <c r="E15" s="22" t="inlineStr">
        <is>
          <t>Problem Solving</t>
        </is>
      </c>
      <c r="F15" s="22" t="inlineStr">
        <is>
          <t>☐</t>
        </is>
      </c>
      <c r="G15" s="22" t="inlineStr">
        <is>
          <t>☐</t>
        </is>
      </c>
      <c r="H15" s="22" t="inlineStr">
        <is>
          <t>☐</t>
        </is>
      </c>
      <c r="I15" s="22" t="inlineStr">
        <is>
          <t>☐</t>
        </is>
      </c>
      <c r="J15" s="22" t="inlineStr">
        <is>
          <t>☐</t>
        </is>
      </c>
    </row>
    <row r="16" ht="42" customHeight="1">
      <c r="A16" s="45" t="inlineStr">
        <is>
          <t>3</t>
        </is>
      </c>
      <c r="B16" s="61" t="inlineStr">
        <is>
          <t>Adaptabilitas</t>
        </is>
      </c>
      <c r="C16" s="44" t="inlineStr">
        <is>
          <t>Berikan contoh ketika Anda harus beradaptasi dengan perubahan besar dalam pekerjaan atau lingkungan kerja. Bagaimana respons Anda?</t>
        </is>
      </c>
      <c r="D16" s="45" t="inlineStr">
        <is>
          <t>STAR</t>
        </is>
      </c>
      <c r="E16" s="45" t="inlineStr">
        <is>
          <t>Adaptability</t>
        </is>
      </c>
      <c r="F16" s="45" t="inlineStr">
        <is>
          <t>☐</t>
        </is>
      </c>
      <c r="G16" s="45" t="inlineStr">
        <is>
          <t>☐</t>
        </is>
      </c>
      <c r="H16" s="45" t="inlineStr">
        <is>
          <t>☐</t>
        </is>
      </c>
      <c r="I16" s="45" t="inlineStr">
        <is>
          <t>☐</t>
        </is>
      </c>
      <c r="J16" s="45" t="inlineStr">
        <is>
          <t>☐</t>
        </is>
      </c>
    </row>
    <row r="17" ht="42" customHeight="1">
      <c r="A17" s="22" t="inlineStr">
        <is>
          <t>4</t>
        </is>
      </c>
      <c r="B17" s="62" t="inlineStr">
        <is>
          <t>Inisiatif</t>
        </is>
      </c>
      <c r="C17" s="47" t="inlineStr">
        <is>
          <t>Ceritakan saat Anda mengambil inisiatif tanpa diminta atasan dan memberikan dampak positif.</t>
        </is>
      </c>
      <c r="D17" s="22" t="inlineStr">
        <is>
          <t>STAR</t>
        </is>
      </c>
      <c r="E17" s="22" t="inlineStr">
        <is>
          <t>Initiative</t>
        </is>
      </c>
      <c r="F17" s="22" t="inlineStr">
        <is>
          <t>☐</t>
        </is>
      </c>
      <c r="G17" s="22" t="inlineStr">
        <is>
          <t>☐</t>
        </is>
      </c>
      <c r="H17" s="22" t="inlineStr">
        <is>
          <t>☐</t>
        </is>
      </c>
      <c r="I17" s="22" t="inlineStr">
        <is>
          <t>☐</t>
        </is>
      </c>
      <c r="J17" s="22" t="inlineStr">
        <is>
          <t>☐</t>
        </is>
      </c>
    </row>
    <row r="18" ht="42" customHeight="1">
      <c r="A18" s="45" t="inlineStr">
        <is>
          <t>5</t>
        </is>
      </c>
      <c r="B18" s="61" t="inlineStr">
        <is>
          <t>Handling Pressure</t>
        </is>
      </c>
      <c r="C18" s="44" t="inlineStr">
        <is>
          <t>Bagaimana Anda mengelola situasi ketika Anda memiliki beberapa deadline bersamaan dan sumber daya terbatas?</t>
        </is>
      </c>
      <c r="D18" s="45" t="inlineStr">
        <is>
          <t>STAR</t>
        </is>
      </c>
      <c r="E18" s="45" t="inlineStr">
        <is>
          <t>Stress Mgmt</t>
        </is>
      </c>
      <c r="F18" s="45" t="inlineStr">
        <is>
          <t>☐</t>
        </is>
      </c>
      <c r="G18" s="45" t="inlineStr">
        <is>
          <t>☐</t>
        </is>
      </c>
      <c r="H18" s="45" t="inlineStr">
        <is>
          <t>☐</t>
        </is>
      </c>
      <c r="I18" s="45" t="inlineStr">
        <is>
          <t>☐</t>
        </is>
      </c>
      <c r="J18" s="45" t="inlineStr">
        <is>
          <t>☐</t>
        </is>
      </c>
    </row>
    <row r="19" ht="42" customHeight="1">
      <c r="A19" s="22" t="inlineStr">
        <is>
          <t>6</t>
        </is>
      </c>
      <c r="B19" s="62" t="inlineStr">
        <is>
          <t>Leadership (Mid-Senior)</t>
        </is>
      </c>
      <c r="C19" s="47" t="inlineStr">
        <is>
          <t>Ceritakan pengalaman Anda memimpin tim melewati tantangan atau target yang ambisius.</t>
        </is>
      </c>
      <c r="D19" s="22" t="inlineStr">
        <is>
          <t>STAR (Senior only)</t>
        </is>
      </c>
      <c r="E19" s="22" t="inlineStr">
        <is>
          <t>Leadership</t>
        </is>
      </c>
      <c r="F19" s="22" t="inlineStr">
        <is>
          <t>☐</t>
        </is>
      </c>
      <c r="G19" s="22" t="inlineStr">
        <is>
          <t>☐</t>
        </is>
      </c>
      <c r="H19" s="22" t="inlineStr">
        <is>
          <t>☐</t>
        </is>
      </c>
      <c r="I19" s="22" t="inlineStr">
        <is>
          <t>☐</t>
        </is>
      </c>
      <c r="J19" s="22" t="inlineStr">
        <is>
          <t>☐</t>
        </is>
      </c>
    </row>
    <row r="21" ht="26" customHeight="1">
      <c r="A21" s="50" t="inlineStr">
        <is>
          <t xml:space="preserve">  ▌  MOTIVASI &amp; CULTURE FIT</t>
        </is>
      </c>
    </row>
    <row r="22" ht="26" customHeight="1">
      <c r="A22" s="51" t="inlineStr">
        <is>
          <t>NO</t>
        </is>
      </c>
      <c r="B22" s="51" t="inlineStr">
        <is>
          <t>TOPIK / PERTANYAAN</t>
        </is>
      </c>
      <c r="C22" s="51" t="inlineStr">
        <is>
          <t>PERTANYAAN UTAMA (Wajib diajukan)</t>
        </is>
      </c>
      <c r="D22" s="51" t="inlineStr">
        <is>
          <t>METODE</t>
        </is>
      </c>
      <c r="E22" s="51" t="inlineStr">
        <is>
          <t>KOMPETENSI DINILAI</t>
        </is>
      </c>
      <c r="F22" s="51" t="inlineStr">
        <is>
          <t>1</t>
        </is>
      </c>
      <c r="G22" s="51" t="inlineStr">
        <is>
          <t>2</t>
        </is>
      </c>
      <c r="H22" s="51" t="inlineStr">
        <is>
          <t>3</t>
        </is>
      </c>
      <c r="I22" s="51" t="inlineStr">
        <is>
          <t>4</t>
        </is>
      </c>
      <c r="J22" s="51" t="inlineStr">
        <is>
          <t>5</t>
        </is>
      </c>
    </row>
    <row r="23" ht="42" customHeight="1">
      <c r="A23" s="45" t="inlineStr">
        <is>
          <t>1</t>
        </is>
      </c>
      <c r="B23" s="61" t="inlineStr">
        <is>
          <t>Value Perusahaan</t>
        </is>
      </c>
      <c r="C23" s="44" t="inlineStr">
        <is>
          <t>Apa nilai atau prinsip kerja yang paling penting bagi Anda? Bagaimana nilai tersebut tercermin dalam cara kerja Anda sehari-hari?</t>
        </is>
      </c>
      <c r="D23" s="45" t="inlineStr">
        <is>
          <t>Open-ended</t>
        </is>
      </c>
      <c r="E23" s="45" t="inlineStr">
        <is>
          <t>Values Alignment</t>
        </is>
      </c>
      <c r="F23" s="45" t="inlineStr">
        <is>
          <t>☐</t>
        </is>
      </c>
      <c r="G23" s="45" t="inlineStr">
        <is>
          <t>☐</t>
        </is>
      </c>
      <c r="H23" s="45" t="inlineStr">
        <is>
          <t>☐</t>
        </is>
      </c>
      <c r="I23" s="45" t="inlineStr">
        <is>
          <t>☐</t>
        </is>
      </c>
      <c r="J23" s="45" t="inlineStr">
        <is>
          <t>☐</t>
        </is>
      </c>
    </row>
    <row r="24" ht="42" customHeight="1">
      <c r="A24" s="22" t="inlineStr">
        <is>
          <t>2</t>
        </is>
      </c>
      <c r="B24" s="62" t="inlineStr">
        <is>
          <t>Career Goals</t>
        </is>
      </c>
      <c r="C24" s="47" t="inlineStr">
        <is>
          <t>Di mana Anda melihat karir Anda dalam 3-5 tahun ke depan? Bagaimana posisi ini mendukung tujuan tersebut?</t>
        </is>
      </c>
      <c r="D24" s="22" t="inlineStr">
        <is>
          <t>Funnel probing</t>
        </is>
      </c>
      <c r="E24" s="22" t="inlineStr">
        <is>
          <t>Ambition</t>
        </is>
      </c>
      <c r="F24" s="22" t="inlineStr">
        <is>
          <t>☐</t>
        </is>
      </c>
      <c r="G24" s="22" t="inlineStr">
        <is>
          <t>☐</t>
        </is>
      </c>
      <c r="H24" s="22" t="inlineStr">
        <is>
          <t>☐</t>
        </is>
      </c>
      <c r="I24" s="22" t="inlineStr">
        <is>
          <t>☐</t>
        </is>
      </c>
      <c r="J24" s="22" t="inlineStr">
        <is>
          <t>☐</t>
        </is>
      </c>
    </row>
    <row r="25" ht="42" customHeight="1">
      <c r="A25" s="45" t="inlineStr">
        <is>
          <t>3</t>
        </is>
      </c>
      <c r="B25" s="61" t="inlineStr">
        <is>
          <t>Fast-Paced Env</t>
        </is>
      </c>
      <c r="C25" s="44" t="inlineStr">
        <is>
          <t>Arunika adalah startup yang bergerak cepat. Bagaimana pengalaman Anda bekerja di lingkungan yang dinamis dan sering berubah?</t>
        </is>
      </c>
      <c r="D25" s="45" t="inlineStr">
        <is>
          <t>Open-ended</t>
        </is>
      </c>
      <c r="E25" s="45" t="inlineStr">
        <is>
          <t>Culture Fit</t>
        </is>
      </c>
      <c r="F25" s="45" t="inlineStr">
        <is>
          <t>☐</t>
        </is>
      </c>
      <c r="G25" s="45" t="inlineStr">
        <is>
          <t>☐</t>
        </is>
      </c>
      <c r="H25" s="45" t="inlineStr">
        <is>
          <t>☐</t>
        </is>
      </c>
      <c r="I25" s="45" t="inlineStr">
        <is>
          <t>☐</t>
        </is>
      </c>
      <c r="J25" s="45" t="inlineStr">
        <is>
          <t>☐</t>
        </is>
      </c>
    </row>
    <row r="26" ht="42" customHeight="1">
      <c r="A26" s="22" t="inlineStr">
        <is>
          <t>4</t>
        </is>
      </c>
      <c r="B26" s="62" t="inlineStr">
        <is>
          <t>Work Style</t>
        </is>
      </c>
      <c r="C26" s="47" t="inlineStr">
        <is>
          <t>Bagaimana gaya kerja ideal Anda — lebih suka bekerja mandiri atau dalam tim? Berikan contoh nyata.</t>
        </is>
      </c>
      <c r="D26" s="22" t="inlineStr">
        <is>
          <t>Open-ended</t>
        </is>
      </c>
      <c r="E26" s="22" t="inlineStr">
        <is>
          <t>Culture Fit</t>
        </is>
      </c>
      <c r="F26" s="22" t="inlineStr">
        <is>
          <t>☐</t>
        </is>
      </c>
      <c r="G26" s="22" t="inlineStr">
        <is>
          <t>☐</t>
        </is>
      </c>
      <c r="H26" s="22" t="inlineStr">
        <is>
          <t>☐</t>
        </is>
      </c>
      <c r="I26" s="22" t="inlineStr">
        <is>
          <t>☐</t>
        </is>
      </c>
      <c r="J26" s="22" t="inlineStr">
        <is>
          <t>☐</t>
        </is>
      </c>
    </row>
    <row r="28" ht="26" customHeight="1">
      <c r="A28" s="52" t="inlineStr">
        <is>
          <t xml:space="preserve">  ▌  TECHNICAL / ROLE-SPECIFIC</t>
        </is>
      </c>
    </row>
    <row r="29" ht="26" customHeight="1">
      <c r="A29" s="53" t="inlineStr">
        <is>
          <t>NO</t>
        </is>
      </c>
      <c r="B29" s="53" t="inlineStr">
        <is>
          <t>TOPIK / PERTANYAAN</t>
        </is>
      </c>
      <c r="C29" s="53" t="inlineStr">
        <is>
          <t>PERTANYAAN UTAMA (Wajib diajukan)</t>
        </is>
      </c>
      <c r="D29" s="53" t="inlineStr">
        <is>
          <t>METODE</t>
        </is>
      </c>
      <c r="E29" s="53" t="inlineStr">
        <is>
          <t>KOMPETENSI DINILAI</t>
        </is>
      </c>
      <c r="F29" s="53" t="inlineStr">
        <is>
          <t>1</t>
        </is>
      </c>
      <c r="G29" s="53" t="inlineStr">
        <is>
          <t>2</t>
        </is>
      </c>
      <c r="H29" s="53" t="inlineStr">
        <is>
          <t>3</t>
        </is>
      </c>
      <c r="I29" s="53" t="inlineStr">
        <is>
          <t>4</t>
        </is>
      </c>
      <c r="J29" s="53" t="inlineStr">
        <is>
          <t>5</t>
        </is>
      </c>
    </row>
    <row r="30" ht="42" customHeight="1">
      <c r="A30" s="45" t="inlineStr">
        <is>
          <t>1</t>
        </is>
      </c>
      <c r="B30" s="61" t="inlineStr">
        <is>
          <t>Technical Knowledge</t>
        </is>
      </c>
      <c r="C30" s="44" t="inlineStr">
        <is>
          <t>Jelaskan pengalaman Anda yang paling relevan dengan tanggung jawab utama posisi ini.</t>
        </is>
      </c>
      <c r="D30" s="45" t="inlineStr">
        <is>
          <t>Probe deep</t>
        </is>
      </c>
      <c r="E30" s="45" t="inlineStr">
        <is>
          <t>Hard Skill</t>
        </is>
      </c>
      <c r="F30" s="45" t="inlineStr">
        <is>
          <t>☐</t>
        </is>
      </c>
      <c r="G30" s="45" t="inlineStr">
        <is>
          <t>☐</t>
        </is>
      </c>
      <c r="H30" s="45" t="inlineStr">
        <is>
          <t>☐</t>
        </is>
      </c>
      <c r="I30" s="45" t="inlineStr">
        <is>
          <t>☐</t>
        </is>
      </c>
      <c r="J30" s="45" t="inlineStr">
        <is>
          <t>☐</t>
        </is>
      </c>
    </row>
    <row r="31" ht="42" customHeight="1">
      <c r="A31" s="22" t="inlineStr">
        <is>
          <t>2</t>
        </is>
      </c>
      <c r="B31" s="62" t="inlineStr">
        <is>
          <t>Tools &amp; System</t>
        </is>
      </c>
      <c r="C31" s="47" t="inlineStr">
        <is>
          <t>Tools, sistem, atau teknologi apa saja yang Anda kuasai dan paling sering Anda gunakan?</t>
        </is>
      </c>
      <c r="D31" s="22" t="inlineStr">
        <is>
          <t>Knowledge check</t>
        </is>
      </c>
      <c r="E31" s="22" t="inlineStr">
        <is>
          <t>Technical</t>
        </is>
      </c>
      <c r="F31" s="22" t="inlineStr">
        <is>
          <t>☐</t>
        </is>
      </c>
      <c r="G31" s="22" t="inlineStr">
        <is>
          <t>☐</t>
        </is>
      </c>
      <c r="H31" s="22" t="inlineStr">
        <is>
          <t>☐</t>
        </is>
      </c>
      <c r="I31" s="22" t="inlineStr">
        <is>
          <t>☐</t>
        </is>
      </c>
      <c r="J31" s="22" t="inlineStr">
        <is>
          <t>☐</t>
        </is>
      </c>
    </row>
    <row r="32" ht="42" customHeight="1">
      <c r="A32" s="45" t="inlineStr">
        <is>
          <t>3</t>
        </is>
      </c>
      <c r="B32" s="61" t="inlineStr">
        <is>
          <t>Case Study</t>
        </is>
      </c>
      <c r="C32" s="44" t="inlineStr">
        <is>
          <t>(Opsional) Berikan case study singkat sesuai posisi — kandidat diminta analisis dan saran solusi.</t>
        </is>
      </c>
      <c r="D32" s="45" t="inlineStr">
        <is>
          <t>Case/Scenario</t>
        </is>
      </c>
      <c r="E32" s="45" t="inlineStr">
        <is>
          <t>Analytical</t>
        </is>
      </c>
      <c r="F32" s="45" t="inlineStr">
        <is>
          <t>☐</t>
        </is>
      </c>
      <c r="G32" s="45" t="inlineStr">
        <is>
          <t>☐</t>
        </is>
      </c>
      <c r="H32" s="45" t="inlineStr">
        <is>
          <t>☐</t>
        </is>
      </c>
      <c r="I32" s="45" t="inlineStr">
        <is>
          <t>☐</t>
        </is>
      </c>
      <c r="J32" s="45" t="inlineStr">
        <is>
          <t>☐</t>
        </is>
      </c>
    </row>
    <row r="34" ht="26" customHeight="1">
      <c r="A34" s="56" t="inlineStr">
        <is>
          <t xml:space="preserve">  ▌  PENUTUP</t>
        </is>
      </c>
    </row>
    <row r="35" ht="26" customHeight="1">
      <c r="A35" s="57" t="inlineStr">
        <is>
          <t>NO</t>
        </is>
      </c>
      <c r="B35" s="57" t="inlineStr">
        <is>
          <t>TOPIK / PERTANYAAN</t>
        </is>
      </c>
      <c r="C35" s="57" t="inlineStr">
        <is>
          <t>PERTANYAAN UTAMA (Wajib diajukan)</t>
        </is>
      </c>
      <c r="D35" s="57" t="inlineStr">
        <is>
          <t>METODE</t>
        </is>
      </c>
      <c r="E35" s="57" t="inlineStr">
        <is>
          <t>KOMPETENSI DINILAI</t>
        </is>
      </c>
      <c r="F35" s="57" t="inlineStr">
        <is>
          <t>1</t>
        </is>
      </c>
      <c r="G35" s="57" t="inlineStr">
        <is>
          <t>2</t>
        </is>
      </c>
      <c r="H35" s="57" t="inlineStr">
        <is>
          <t>3</t>
        </is>
      </c>
      <c r="I35" s="57" t="inlineStr">
        <is>
          <t>4</t>
        </is>
      </c>
      <c r="J35" s="57" t="inlineStr">
        <is>
          <t>5</t>
        </is>
      </c>
    </row>
    <row r="36" ht="42" customHeight="1">
      <c r="A36" s="45" t="inlineStr">
        <is>
          <t>1</t>
        </is>
      </c>
      <c r="B36" s="61" t="inlineStr">
        <is>
          <t>Pertanyaan Balik</t>
        </is>
      </c>
      <c r="C36" s="44" t="inlineStr">
        <is>
          <t>Apakah ada pertanyaan dari Anda tentang posisi, tim, atau perusahaan?</t>
        </is>
      </c>
      <c r="D36" s="45" t="inlineStr">
        <is>
          <t>Reflektif</t>
        </is>
      </c>
      <c r="E36" s="45" t="inlineStr">
        <is>
          <t>Curiosity</t>
        </is>
      </c>
      <c r="F36" s="45" t="inlineStr">
        <is>
          <t>☐</t>
        </is>
      </c>
      <c r="G36" s="45" t="inlineStr">
        <is>
          <t>☐</t>
        </is>
      </c>
      <c r="H36" s="45" t="inlineStr">
        <is>
          <t>☐</t>
        </is>
      </c>
      <c r="I36" s="45" t="inlineStr">
        <is>
          <t>☐</t>
        </is>
      </c>
      <c r="J36" s="45" t="inlineStr">
        <is>
          <t>☐</t>
        </is>
      </c>
    </row>
    <row r="37" ht="42" customHeight="1">
      <c r="A37" s="22" t="inlineStr">
        <is>
          <t>2</t>
        </is>
      </c>
      <c r="B37" s="62" t="inlineStr">
        <is>
          <t>Kompensasi</t>
        </is>
      </c>
      <c r="C37" s="47" t="inlineStr">
        <is>
          <t>Berapa ekspektasi gaji Anda? Apakah ada benefit khusus yang menjadi prioritas?</t>
        </is>
      </c>
      <c r="D37" s="22" t="inlineStr">
        <is>
          <t>Direct</t>
        </is>
      </c>
      <c r="E37" s="22" t="inlineStr">
        <is>
          <t>Expectation</t>
        </is>
      </c>
      <c r="F37" s="22" t="inlineStr">
        <is>
          <t>☐</t>
        </is>
      </c>
      <c r="G37" s="22" t="inlineStr">
        <is>
          <t>☐</t>
        </is>
      </c>
      <c r="H37" s="22" t="inlineStr">
        <is>
          <t>☐</t>
        </is>
      </c>
      <c r="I37" s="22" t="inlineStr">
        <is>
          <t>☐</t>
        </is>
      </c>
      <c r="J37" s="22" t="inlineStr">
        <is>
          <t>☐</t>
        </is>
      </c>
    </row>
    <row r="38" ht="42" customHeight="1">
      <c r="A38" s="45" t="inlineStr">
        <is>
          <t>3</t>
        </is>
      </c>
      <c r="B38" s="61" t="inlineStr">
        <is>
          <t>Closing</t>
        </is>
      </c>
      <c r="C38" s="44" t="inlineStr">
        <is>
          <t>Jelaskan next step proses rekrutmen, timeline, dan cara komunikasi selanjutnya.</t>
        </is>
      </c>
      <c r="D38" s="45" t="inlineStr">
        <is>
          <t>Waktu: 5 menit</t>
        </is>
      </c>
      <c r="E38" s="45" t="inlineStr">
        <is>
          <t>—</t>
        </is>
      </c>
      <c r="F38" s="45" t="inlineStr">
        <is>
          <t>☐</t>
        </is>
      </c>
      <c r="G38" s="45" t="inlineStr">
        <is>
          <t>☐</t>
        </is>
      </c>
      <c r="H38" s="45" t="inlineStr">
        <is>
          <t>☐</t>
        </is>
      </c>
      <c r="I38" s="45" t="inlineStr">
        <is>
          <t>☐</t>
        </is>
      </c>
      <c r="J38" s="45" t="inlineStr">
        <is>
          <t>☐</t>
        </is>
      </c>
    </row>
    <row r="40" ht="22" customHeight="1">
      <c r="A40" s="63" t="inlineStr">
        <is>
          <t xml:space="preserve">  ▌  SKALA PENILAIAN  |  1 = Tidak Memenuhi  |  2 = Perlu Pengembangan  |  3 = Memenuhi Standar  |  4 = Melebihi Standar  |  5 = Sangat Unggul</t>
        </is>
      </c>
    </row>
  </sheetData>
  <mergeCells count="13">
    <mergeCell ref="A1:J1"/>
    <mergeCell ref="B4"/>
    <mergeCell ref="D4"/>
    <mergeCell ref="F4"/>
    <mergeCell ref="A6:J6"/>
    <mergeCell ref="J4"/>
    <mergeCell ref="A40:J40"/>
    <mergeCell ref="A21:J21"/>
    <mergeCell ref="A34:J34"/>
    <mergeCell ref="A12:J12"/>
    <mergeCell ref="A2:J2"/>
    <mergeCell ref="A28:J28"/>
    <mergeCell ref="H4"/>
  </mergeCells>
  <pageMargins left="0.75" right="0.75" top="1" bottom="1" header="0.5" footer="0.5"/>
</worksheet>
</file>

<file path=xl/worksheets/sheet5.xml><?xml version="1.0" encoding="utf-8"?>
<worksheet xmlns="http://schemas.openxmlformats.org/spreadsheetml/2006/main">
  <sheetPr>
    <tabColor rgb="0016A34A"/>
    <outlinePr summaryBelow="1" summaryRight="1"/>
    <pageSetUpPr/>
  </sheetPr>
  <dimension ref="A1:F102"/>
  <sheetViews>
    <sheetView showGridLines="0" workbookViewId="0">
      <selection activeCell="A1" sqref="A1"/>
    </sheetView>
  </sheetViews>
  <sheetFormatPr baseColWidth="8" defaultRowHeight="15"/>
  <cols>
    <col width="18" customWidth="1" min="1" max="1"/>
    <col width="5" customWidth="1" min="2" max="2"/>
    <col width="72" customWidth="1" min="3" max="3"/>
    <col width="5" customWidth="1" min="4" max="4"/>
    <col width="5" customWidth="1" min="5" max="5"/>
    <col width="5" customWidth="1" min="6" max="6"/>
  </cols>
  <sheetData>
    <row r="1" ht="30" customHeight="1">
      <c r="A1" s="32" t="inlineStr">
        <is>
          <t>TEMPLATE EMAIL REKRUTMEN — PT ARUNIKA GROWTH INDONESIA</t>
        </is>
      </c>
    </row>
    <row r="2" ht="18" customHeight="1">
      <c r="A2" s="33" t="inlineStr">
        <is>
          <t>Ganti teks dalam [TANDA KURUNG] dengan informasi yang relevan sebelum mengirim.</t>
        </is>
      </c>
    </row>
    <row r="4" ht="26" customHeight="1">
      <c r="A4" s="48" t="inlineStr">
        <is>
          <t xml:space="preserve">  ▌  TEMPLATE EMAIL 01 — UNDANGAN INTERVIEW HR</t>
        </is>
      </c>
    </row>
    <row r="5" ht="22" customHeight="1">
      <c r="A5" s="64" t="inlineStr">
        <is>
          <t>SUBJECT:</t>
        </is>
      </c>
      <c r="B5" s="65" t="inlineStr">
        <is>
          <t>Subject: Undangan Interview | [NAMA POSISI] — PT Arunika Growth Indonesia</t>
        </is>
      </c>
    </row>
    <row r="6" ht="15" customHeight="1">
      <c r="A6" s="66" t="inlineStr">
        <is>
          <t>BODY
EMAIL:</t>
        </is>
      </c>
      <c r="B6" s="67" t="inlineStr">
        <is>
          <t>Yth. Bapak/Ibu [NAMA KANDIDAT],
Terima kasih atas ketertarikan Anda pada posisi [NAMA POSISI] di PT Arunika Growth Indonesia.
Setelah melalui proses seleksi administrasi, kami dengan senang hati mengundang Anda untuk mengikuti tahap Interview HR bersama tim kami.
Detail Interview:
• Tanggal  : [HARI, TANGGAL]
• Waktu    : [JAM] WIB
• Format   : [Video Call via Google Meet / Telepon]
• Link Meet: [LINK GOOGLE MEET] (jika video call)
• Estimasi Durasi: 30-45 menit
Mohon konfirmasi kehadiran Anda paling lambat [TANGGAL KONFIRMASI] melalui email ini atau WhatsApp ke [NOMOR HR].
Jika ada kendala jadwal, jangan ragu untuk menghubungi kami dan kami akan carikan waktu alternatif yang sesuai.
Kami menantikan kesempatan untuk mengenal Anda lebih jauh.
Salam hangat,
[NAMA HR STAFF]
Human Resources | PT Arunika Growth Indonesia
hr@arunikagrowth.co.id | (021) 5000-9988</t>
        </is>
      </c>
    </row>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4" ht="26" customHeight="1">
      <c r="A24" s="50" t="inlineStr">
        <is>
          <t xml:space="preserve">  ▌  TEMPLATE EMAIL 02 — UNDANGAN INTERVIEW USER/TECHNICAL</t>
        </is>
      </c>
    </row>
    <row r="25" ht="22" customHeight="1">
      <c r="A25" s="64" t="inlineStr">
        <is>
          <t>SUBJECT:</t>
        </is>
      </c>
      <c r="B25" s="65" t="inlineStr">
        <is>
          <t>Subject: Undangan Interview Tahap Lanjut | [NAMA POSISI] — PT Arunika Growth Indonesia</t>
        </is>
      </c>
    </row>
    <row r="26" ht="15" customHeight="1">
      <c r="A26" s="66" t="inlineStr">
        <is>
          <t>BODY
EMAIL:</t>
        </is>
      </c>
      <c r="B26" s="67" t="inlineStr">
        <is>
          <t>Yth. Bapak/Ibu [NAMA KANDIDAT],
Selamat! Anda berhasil melanjutkan ke tahap Interview User/Technical untuk posisi [NAMA POSISI] di PT Arunika Growth Indonesia.
Detail Interview:
• Tanggal  : [HARI, TANGGAL]
• Waktu    : [JAM] WIB
• Format   : [Video Call / Onsite di Kantor]
• Alamat   : Jl. Sudirman Kav. 52-53, Jakarta Selatan (jika onsite)
• Interviewer: [NAMA INTERVIEWER], [JABATAN]
[Jika ada Technical Test:]
Anda akan diminta mengerjakan Technical Assessment singkat (~60 menit) sebelum/sesudah sesi interview.
Topik: [DESKRIPSI SINGKAT TOPIK TEST]
Harap membawa:
• Identitas diri (KTP/SIM)
• Laptop (jika diperlukan untuk test)
• Portofolio/hasil kerja relevan (opsional)
Mohon konfirmasi kehadiran melalui email ini.
Salam,
[NAMA HR STAFF]
Human Resources | PT Arunika Growth Indonesia</t>
        </is>
      </c>
    </row>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4" ht="26" customHeight="1">
      <c r="A44" s="68" t="inlineStr">
        <is>
          <t xml:space="preserve">  ▌  TEMPLATE EMAIL 03 — PENOLAKAN (TIDAK LOLOS SCREENING)</t>
        </is>
      </c>
    </row>
    <row r="45" ht="22" customHeight="1">
      <c r="A45" s="64" t="inlineStr">
        <is>
          <t>SUBJECT:</t>
        </is>
      </c>
      <c r="B45" s="65" t="inlineStr">
        <is>
          <t>Subject: Pemberitahuan Hasil Seleksi | [NAMA POSISI] — PT Arunika Growth Indonesia</t>
        </is>
      </c>
    </row>
    <row r="46" ht="15" customHeight="1">
      <c r="A46" s="66" t="inlineStr">
        <is>
          <t>BODY
EMAIL:</t>
        </is>
      </c>
      <c r="B46" s="67" t="inlineStr">
        <is>
          <t>Yth. Bapak/Ibu [NAMA KANDIDAT],
Terima kasih atas waktu dan ketertarikan Anda untuk berkarir bersama PT Arunika Growth Indonesia melalui lamaran posisi [NAMA POSISI].
Setelah melalui proses evaluasi yang cermat, dengan penuh pertimbangan kami menyampaikan bahwa pada kesempatan ini kami belum dapat melanjutkan proses seleksi Anda ke tahap berikutnya.
Keputusan ini tidak serta-merta mencerminkan kualitas Anda sebagai profesional. Kami mendorong Anda untuk terus mengembangkan diri dan tidak menutup kemungkinan untuk melamar posisi lain yang mungkin lebih sesuai di masa mendatang.
Profil Anda akan kami simpan dalam database talent pool kami dan kami akan menghubungi Anda jika ada posisi yang lebih sesuai ke depannya.
Terima kasih sekali lagi atas waktu yang Anda berikan. Kami mendoakan yang terbaik untuk perjalanan karir Anda.
Salam,
[NAMA HR STAFF]
Human Resources | PT Arunika Growth Indonesia</t>
        </is>
      </c>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4" ht="26" customHeight="1">
      <c r="A64" s="52" t="inlineStr">
        <is>
          <t xml:space="preserve">  ▌  TEMPLATE EMAIL 04 — VERBAL OFFER</t>
        </is>
      </c>
    </row>
    <row r="65" ht="22" customHeight="1">
      <c r="A65" s="64" t="inlineStr">
        <is>
          <t>SUBJECT:</t>
        </is>
      </c>
      <c r="B65" s="65" t="inlineStr">
        <is>
          <t>Subject: Penawaran Kerja — [NAMA POSISI] | PT Arunika Growth Indonesia</t>
        </is>
      </c>
    </row>
    <row r="66" ht="15" customHeight="1">
      <c r="A66" s="66" t="inlineStr">
        <is>
          <t>BODY
EMAIL:</t>
        </is>
      </c>
      <c r="B66" s="67" t="inlineStr">
        <is>
          <t>Yth. Bapak/Ibu [NAMA KANDIDAT],
Selamat! Kami dengan bangga menyampaikan bahwa Anda telah berhasil melalui seluruh tahapan seleksi posisi [NAMA POSISI] di PT Arunika Growth Indonesia.
Sesuai diskusi kita sebelumnya, berikut rangkuman penawaran kompensasi yang kami tawarkan:
• Gaji Pokok     : Rp [NOMINAL]/bulan
• Tunjangan Tetap: Rp [NOMINAL]/bulan  
• Total Package  : Rp [TOTAL]/bulan
• Tipe Kontrak   : [PKWT/PKWTT] — [DURASI jika PKWT]
• Target Join    : [TANGGAL]
• Masa Probasi   : [DURASI]
Benefit tambahan:
• BPJS Ketenagakerjaan &amp; Kesehatan (ditanggung perusahaan)
• Laptop kerja disediakan
• Cuti tahunan 12 hari
• [BENEFIT LAIN SESUAI POSISI]
Offer Letter resmi akan kami kirimkan dalam 1x24 jam. Kami memberikan waktu hingga [TANGGAL DEADLINE] untuk memberikan keputusan Anda secara tertulis.
Jika ada pertanyaan mengenai detail penawaran, jangan ragu menghubungi kami.
Kami sangat antusias untuk segera menyambut Anda bergabung bersama tim Arunika!
Salam hangat,
[NAMA HR STAFF]
Human Resources | PT Arunika Growth Indonesia</t>
        </is>
      </c>
    </row>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4" ht="26" customHeight="1">
      <c r="A84" s="54" t="inlineStr">
        <is>
          <t xml:space="preserve">  ▌  TEMPLATE EMAIL 05 — WELCOME EMAIL (PRE-ONBOARDING)</t>
        </is>
      </c>
    </row>
    <row r="85" ht="22" customHeight="1">
      <c r="A85" s="64" t="inlineStr">
        <is>
          <t>SUBJECT:</t>
        </is>
      </c>
      <c r="B85" s="65" t="inlineStr">
        <is>
          <t>Subject: Selamat Bergabung! Persiapan Hari Pertama Kerja — PT Arunika Growth Indonesia</t>
        </is>
      </c>
    </row>
    <row r="86" ht="15" customHeight="1">
      <c r="A86" s="66" t="inlineStr">
        <is>
          <t>BODY
EMAIL:</t>
        </is>
      </c>
      <c r="B86" s="67" t="inlineStr">
        <is>
          <t>Halo [NAMA KARYAWAN BARU],
Selamat datang di keluarga besar PT Arunika Growth Indonesia!
Kami sangat senang dan antusias menyambut kehadiran Anda sebagai [NAMA POSISI] di tim [NAMA DIVISI], mulai [TANGGAL PERTAMA KERJA].
PERSIAPAN HARI PERTAMA:
• Waktu Tiba  : Pukul [JAM] WIB
• Lokasi      : Jl. Sudirman Kav. 52-53, Jakarta Selatan (Lantai [X])
• Dress Code  : Smart casual / Business casual
• Buddy Anda  : [NAMA BUDDY], [JABATAN] — akan menemani hari pertama Anda
DOKUMEN YANG PERLU DIBAWA:
□ KTP/Identitas diri (asli + fotokopi 2 lembar)
□ NPWP (jika ada)
□ Ijazah terakhir + transkrip nilai (asli + fotokopi)
□ Buku Tabungan (untuk setup payroll)
□ Pas foto 3x4 (2 lembar, latar merah)
□ Surat Keterangan Sehat dari dokter
□ Kartu BPJS (jika sudah memiliki)
AGENDA HARI PERTAMA:
[JAM] - Welcome &amp; pengenalan dengan HR
[JAM] - Orientasi perusahaan &amp; kultur Arunika  
[JAM] - Setup workstation, email, dan tools
[JAM] - Meet the team &amp; makan siang bersama
[JAM] - Sesi briefing dengan [NAMA HIRING MANAGER]
Jika ada yang ingin ditanyakan sebelum hari H, feel free to reach out!
Can't wait to have you on board!
Salam hangat,
[NAMA HR STAFF]
Human Resources | PT Arunika Growth Indonesia
hr@arunikagrowth.co.id | (021) 5000-9988</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sheetData>
  <mergeCells count="17">
    <mergeCell ref="A24:F24"/>
    <mergeCell ref="A2:F2"/>
    <mergeCell ref="B65:F65"/>
    <mergeCell ref="A84:F84"/>
    <mergeCell ref="B86:F102"/>
    <mergeCell ref="A44:F44"/>
    <mergeCell ref="A1:F1"/>
    <mergeCell ref="B25:F25"/>
    <mergeCell ref="B5:F5"/>
    <mergeCell ref="B45:F45"/>
    <mergeCell ref="B6:F22"/>
    <mergeCell ref="B46:F62"/>
    <mergeCell ref="A4:F4"/>
    <mergeCell ref="B85:F85"/>
    <mergeCell ref="B26:F42"/>
    <mergeCell ref="A64:F64"/>
    <mergeCell ref="B66:F8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2026-05-05T08:43:46Z</dcterms:created>
  <dcterms:modified xmlns:dcterms="http://purl.org/dc/terms/" xmlns:xsi="http://www.w3.org/2001/XMLSchema-instance" xsi:type="dcterms:W3CDTF">2026-05-05T08:43:46Z</dcterms:modified>
</cp:coreProperties>
</file>